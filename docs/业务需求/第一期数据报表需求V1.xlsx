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i/Code/WrenAI/docs/业务需求/"/>
    </mc:Choice>
  </mc:AlternateContent>
  <xr:revisionPtr revIDLastSave="0" documentId="13_ncr:1_{EF07C6C9-9B94-874D-B2BB-D7097F100088}" xr6:coauthVersionLast="47" xr6:coauthVersionMax="47" xr10:uidLastSave="{00000000-0000-0000-0000-000000000000}"/>
  <bookViews>
    <workbookView xWindow="1400" yWindow="600" windowWidth="37000" windowHeight="21000" activeTab="4" xr2:uid="{4E5342A5-6ECE-D544-ACA6-1629D973BD0F}"/>
  </bookViews>
  <sheets>
    <sheet name="表格汇总" sheetId="9" r:id="rId1"/>
    <sheet name="综合日报表" sheetId="8" r:id="rId2"/>
    <sheet name="ROI回收表" sheetId="2" r:id="rId3"/>
    <sheet name="首存及续存率" sheetId="3" r:id="rId4"/>
    <sheet name="投充比与杀率" sheetId="4" r:id="rId5"/>
    <sheet name="游戏类型流水分布" sheetId="5" r:id="rId6"/>
    <sheet name="首存金额分布与占比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4" l="1"/>
  <c r="O31" i="4"/>
  <c r="N32" i="4"/>
  <c r="N31" i="4"/>
  <c r="E22" i="3"/>
  <c r="I17" i="5" l="1"/>
  <c r="H16" i="5"/>
  <c r="Q17" i="5"/>
  <c r="R17" i="5"/>
  <c r="S17" i="5"/>
  <c r="P17" i="5"/>
  <c r="O17" i="5"/>
  <c r="N17" i="5"/>
  <c r="M17" i="5"/>
  <c r="L17" i="5"/>
  <c r="J17" i="5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G33" i="2"/>
  <c r="AE11" i="7"/>
  <c r="AC11" i="7"/>
  <c r="AA11" i="7"/>
  <c r="Y11" i="7"/>
  <c r="W11" i="7"/>
  <c r="U11" i="7"/>
  <c r="S11" i="7"/>
  <c r="Q11" i="7"/>
  <c r="O11" i="7"/>
  <c r="M11" i="7"/>
  <c r="K11" i="7"/>
  <c r="I11" i="7"/>
  <c r="G11" i="7"/>
  <c r="M19" i="5"/>
  <c r="N19" i="5"/>
  <c r="O19" i="5"/>
  <c r="P19" i="5"/>
  <c r="Q19" i="5"/>
  <c r="R19" i="5"/>
  <c r="S19" i="5"/>
  <c r="L19" i="5"/>
  <c r="J19" i="5"/>
  <c r="I19" i="5"/>
  <c r="H18" i="5"/>
  <c r="H19" i="5" s="1"/>
  <c r="H15" i="5"/>
  <c r="K20" i="5" s="1"/>
  <c r="H17" i="5" l="1"/>
  <c r="I20" i="5"/>
  <c r="J20" i="5"/>
  <c r="H20" i="5"/>
  <c r="S20" i="5"/>
  <c r="R20" i="5"/>
  <c r="Q20" i="5"/>
  <c r="M20" i="5"/>
  <c r="P20" i="5"/>
  <c r="O20" i="5"/>
  <c r="N20" i="5"/>
  <c r="L20" i="5"/>
  <c r="H33" i="2"/>
  <c r="H34" i="2" s="1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H13" i="2"/>
  <c r="V34" i="2" l="1"/>
  <c r="L34" i="2"/>
  <c r="J34" i="2"/>
  <c r="O34" i="2"/>
  <c r="I34" i="2"/>
  <c r="M34" i="2"/>
  <c r="N34" i="2"/>
  <c r="K34" i="2"/>
  <c r="S34" i="2"/>
  <c r="R34" i="2"/>
  <c r="U34" i="2"/>
  <c r="T34" i="2"/>
  <c r="P34" i="2"/>
  <c r="Q34" i="2"/>
  <c r="N44" i="8"/>
  <c r="W46" i="8"/>
  <c r="U46" i="8"/>
  <c r="T46" i="8"/>
  <c r="P46" i="8"/>
  <c r="N46" i="8"/>
  <c r="W45" i="8"/>
  <c r="U45" i="8"/>
  <c r="T45" i="8"/>
  <c r="P45" i="8"/>
  <c r="N45" i="8"/>
  <c r="W44" i="8"/>
  <c r="U44" i="8"/>
  <c r="T44" i="8"/>
  <c r="P44" i="8"/>
  <c r="V43" i="8"/>
  <c r="Q43" i="8"/>
  <c r="O43" i="8"/>
  <c r="M43" i="8"/>
  <c r="L43" i="8"/>
  <c r="K43" i="8"/>
  <c r="E43" i="8"/>
  <c r="P43" i="8" l="1"/>
  <c r="W43" i="8"/>
  <c r="N43" i="8"/>
  <c r="T43" i="8"/>
  <c r="U43" i="8"/>
</calcChain>
</file>

<file path=xl/sharedStrings.xml><?xml version="1.0" encoding="utf-8"?>
<sst xmlns="http://schemas.openxmlformats.org/spreadsheetml/2006/main" count="658" uniqueCount="291">
  <si>
    <t>平台</t>
    <phoneticPr fontId="3" type="noConversion"/>
  </si>
  <si>
    <t>日期</t>
    <phoneticPr fontId="3" type="noConversion"/>
  </si>
  <si>
    <t>投放金额</t>
    <phoneticPr fontId="3" type="noConversion"/>
  </si>
  <si>
    <t>下载点击UV</t>
    <phoneticPr fontId="3" type="noConversion"/>
  </si>
  <si>
    <t>UV注册率</t>
    <phoneticPr fontId="3" type="noConversion"/>
  </si>
  <si>
    <t>存款金额</t>
    <phoneticPr fontId="3" type="noConversion"/>
  </si>
  <si>
    <t>充提差</t>
    <phoneticPr fontId="3" type="noConversion"/>
  </si>
  <si>
    <t>汇总</t>
    <phoneticPr fontId="3" type="noConversion"/>
  </si>
  <si>
    <t>渠道名称</t>
    <phoneticPr fontId="3" type="noConversion"/>
  </si>
  <si>
    <t>PV</t>
    <phoneticPr fontId="3" type="noConversion"/>
  </si>
  <si>
    <t>UV</t>
    <phoneticPr fontId="3" type="noConversion"/>
  </si>
  <si>
    <t>注册人数</t>
    <phoneticPr fontId="3" type="noConversion"/>
  </si>
  <si>
    <t>首存人数</t>
  </si>
  <si>
    <t>首存人数</t>
    <phoneticPr fontId="3" type="noConversion"/>
  </si>
  <si>
    <t>开发人数</t>
    <phoneticPr fontId="3" type="noConversion"/>
  </si>
  <si>
    <t>新客首存人数</t>
    <phoneticPr fontId="3" type="noConversion"/>
  </si>
  <si>
    <t>首存率</t>
    <phoneticPr fontId="3" type="noConversion"/>
  </si>
  <si>
    <t>首存总金额</t>
    <phoneticPr fontId="3" type="noConversion"/>
  </si>
  <si>
    <t>登陆人数</t>
    <phoneticPr fontId="3" type="noConversion"/>
  </si>
  <si>
    <t>提现总金额</t>
    <phoneticPr fontId="3" type="noConversion"/>
  </si>
  <si>
    <t>新用户</t>
    <phoneticPr fontId="3" type="noConversion"/>
  </si>
  <si>
    <t>投注人数</t>
    <phoneticPr fontId="3" type="noConversion"/>
  </si>
  <si>
    <t>有效投注</t>
    <phoneticPr fontId="3" type="noConversion"/>
  </si>
  <si>
    <t>会员输赢</t>
    <phoneticPr fontId="3" type="noConversion"/>
  </si>
  <si>
    <t>杀率</t>
    <phoneticPr fontId="3" type="noConversion"/>
  </si>
  <si>
    <t>所属站点</t>
    <phoneticPr fontId="3" type="noConversion"/>
  </si>
  <si>
    <t>所属渠道商</t>
    <phoneticPr fontId="3" type="noConversion"/>
  </si>
  <si>
    <t>字段类型</t>
    <phoneticPr fontId="3" type="noConversion"/>
  </si>
  <si>
    <t>字段名称</t>
    <phoneticPr fontId="3" type="noConversion"/>
  </si>
  <si>
    <t>字段定义</t>
    <phoneticPr fontId="3" type="noConversion"/>
  </si>
  <si>
    <t>日期及站点、渠道信息选择</t>
    <phoneticPr fontId="3" type="noConversion"/>
  </si>
  <si>
    <t>平台资金</t>
    <phoneticPr fontId="3" type="noConversion"/>
  </si>
  <si>
    <t>UV下载率</t>
    <phoneticPr fontId="3" type="noConversion"/>
  </si>
  <si>
    <t>首存成本</t>
    <phoneticPr fontId="3" type="noConversion"/>
  </si>
  <si>
    <t>新客存款金额</t>
    <phoneticPr fontId="3" type="noConversion"/>
  </si>
  <si>
    <t>存款总人数</t>
    <phoneticPr fontId="3" type="noConversion"/>
  </si>
  <si>
    <t>存款总金额</t>
    <phoneticPr fontId="3" type="noConversion"/>
  </si>
  <si>
    <t>对应平台站点名称及编号，如5651（92）</t>
    <phoneticPr fontId="3" type="noConversion"/>
  </si>
  <si>
    <t>每日数据表格示例：</t>
    <phoneticPr fontId="3" type="noConversion"/>
  </si>
  <si>
    <t>对应渠道商类型，为一级渠道及带编号，如CPS渠道（01），默认为全部</t>
    <phoneticPr fontId="3" type="noConversion"/>
  </si>
  <si>
    <t>对应归属在渠道商的具体投放渠道名称及编号，为二级渠道，如黑料网（31），默认为全部</t>
    <phoneticPr fontId="3" type="noConversion"/>
  </si>
  <si>
    <t>指所选择渠道，在对应日期与服务器有过回传登陆状态的会员总数</t>
    <phoneticPr fontId="3" type="noConversion"/>
  </si>
  <si>
    <t>指所选择渠道，在对应日期有发生过存款任意金额的会员数</t>
    <phoneticPr fontId="3" type="noConversion"/>
  </si>
  <si>
    <t>指所选择渠道，在对应日期存款成功总金额</t>
    <phoneticPr fontId="3" type="noConversion"/>
  </si>
  <si>
    <t>指所选择渠道，在对应日期提现成功总金额</t>
    <phoneticPr fontId="3" type="noConversion"/>
  </si>
  <si>
    <t>存款总金额-提现总金额</t>
    <phoneticPr fontId="3" type="noConversion"/>
  </si>
  <si>
    <t>指站点H5网页版当日访问量，人次</t>
    <phoneticPr fontId="3" type="noConversion"/>
  </si>
  <si>
    <t>指站点H5网页版当日访问独立设备数，人数</t>
    <phoneticPr fontId="3" type="noConversion"/>
  </si>
  <si>
    <t>指站点H5网页版上，APP下载按钮的点击人数</t>
    <phoneticPr fontId="3" type="noConversion"/>
  </si>
  <si>
    <t>访问UV</t>
    <phoneticPr fontId="3" type="noConversion"/>
  </si>
  <si>
    <t>访问PV</t>
    <phoneticPr fontId="3" type="noConversion"/>
  </si>
  <si>
    <t>下载点击UV/访问UV</t>
    <phoneticPr fontId="3" type="noConversion"/>
  </si>
  <si>
    <t>指所选择渠道，在对应日期新增注册的会员数总和</t>
    <phoneticPr fontId="3" type="noConversion"/>
  </si>
  <si>
    <t>注册人数/访问UV</t>
    <phoneticPr fontId="3" type="noConversion"/>
  </si>
  <si>
    <t>指所选择渠道，在对应日期首次存款的会员数总和</t>
    <phoneticPr fontId="3" type="noConversion"/>
  </si>
  <si>
    <t>指所选择渠道，当日注册当日首次存款的会员数总和</t>
    <phoneticPr fontId="3" type="noConversion"/>
  </si>
  <si>
    <t>指所选择渠道，非当日注册首次存款的会员数总和</t>
    <phoneticPr fontId="3" type="noConversion"/>
  </si>
  <si>
    <t>投放金额/首存人数</t>
    <phoneticPr fontId="3" type="noConversion"/>
  </si>
  <si>
    <t>首存人数/注册人数</t>
    <phoneticPr fontId="3" type="noConversion"/>
  </si>
  <si>
    <t>指所选择渠道，首存人数首次存款的金额总和</t>
    <phoneticPr fontId="3" type="noConversion"/>
  </si>
  <si>
    <t>首存人均金额</t>
    <phoneticPr fontId="3" type="noConversion"/>
  </si>
  <si>
    <t>首存总金额/首存人数</t>
    <phoneticPr fontId="3" type="noConversion"/>
  </si>
  <si>
    <t>指所选择渠道，新增注册会员在当日存款总金额</t>
    <phoneticPr fontId="3" type="noConversion"/>
  </si>
  <si>
    <t>指所选择时间段的汇总数据，其中登陆人数、存款总人数、投注人数需去重计算，资产余额展示最新一日的余额数据</t>
    <phoneticPr fontId="3" type="noConversion"/>
  </si>
  <si>
    <t>指所选择渠道，在对应日期有在服务器记录产生游戏注单行为</t>
    <phoneticPr fontId="3" type="noConversion"/>
  </si>
  <si>
    <t>指所选择渠道当日会员在游戏投注中产生的输赢总金额，负数为会员输、正数为会员赢</t>
    <phoneticPr fontId="3" type="noConversion"/>
  </si>
  <si>
    <t>会员输赢/有效投注</t>
    <phoneticPr fontId="3" type="noConversion"/>
  </si>
  <si>
    <t>优惠加扣款</t>
    <phoneticPr fontId="3" type="noConversion"/>
  </si>
  <si>
    <t>任务彩金</t>
    <phoneticPr fontId="3" type="noConversion"/>
  </si>
  <si>
    <t>指所选择渠道，在对应日期全部会员通过【每日任务】模块获取的彩金总金额</t>
    <phoneticPr fontId="3" type="noConversion"/>
  </si>
  <si>
    <t>指所选择渠道，在对应日期全部会员通过【洗码返水】模块领取的彩金总金额</t>
    <phoneticPr fontId="3" type="noConversion"/>
  </si>
  <si>
    <t>指所选择渠道，在对应日期全部会员通过【营销活动】+【彩票活动】+【VIP礼金】三个模块领取的彩金总金额</t>
    <phoneticPr fontId="3" type="noConversion"/>
  </si>
  <si>
    <t>默认近7天的每日数据展示（含当天数据），可根据指令自定时间段以及定时发送，开始-结束日期</t>
    <phoneticPr fontId="3" type="noConversion"/>
  </si>
  <si>
    <t>投充比</t>
    <phoneticPr fontId="3" type="noConversion"/>
  </si>
  <si>
    <t>有效投注/存款总金额</t>
    <phoneticPr fontId="3" type="noConversion"/>
  </si>
  <si>
    <t>指所选择渠道，在对应日期投放所消耗的费用（AI需加上投放金额录入），默认为该站点下当日全部渠道投放金额总和；</t>
    <phoneticPr fontId="3" type="noConversion"/>
  </si>
  <si>
    <t>指通过首存、笔笔存款优惠、加/扣款的金额总和，【优惠金额】+【加扣款】金额总和</t>
    <phoneticPr fontId="3" type="noConversion"/>
  </si>
  <si>
    <t>提款总人数</t>
    <phoneticPr fontId="3" type="noConversion"/>
  </si>
  <si>
    <t>指所选择渠道，在对应日期有发生过提款任意金额的会员数</t>
    <phoneticPr fontId="3" type="noConversion"/>
  </si>
  <si>
    <t>累计1天</t>
  </si>
  <si>
    <t>3天</t>
  </si>
  <si>
    <t>7天</t>
  </si>
  <si>
    <t>15天</t>
  </si>
  <si>
    <t>30天</t>
  </si>
  <si>
    <t>60天</t>
  </si>
  <si>
    <t>90天</t>
  </si>
  <si>
    <t>120天</t>
  </si>
  <si>
    <t>150天</t>
  </si>
  <si>
    <t>180天</t>
  </si>
  <si>
    <t>210天</t>
  </si>
  <si>
    <t>240天</t>
  </si>
  <si>
    <t>270天</t>
  </si>
  <si>
    <t>300天</t>
  </si>
  <si>
    <t>330天</t>
  </si>
  <si>
    <t>360天</t>
  </si>
  <si>
    <t>渠道A</t>
    <phoneticPr fontId="3" type="noConversion"/>
  </si>
  <si>
    <t>渠道ROI</t>
    <phoneticPr fontId="3" type="noConversion"/>
  </si>
  <si>
    <t>环比系数</t>
    <phoneticPr fontId="3" type="noConversion"/>
  </si>
  <si>
    <t>按自然周、月或指定时间段进行输出数据统计</t>
    <phoneticPr fontId="3" type="noConversion"/>
  </si>
  <si>
    <t>（（本期累计值-上期累计值）/上期数）*100%</t>
    <phoneticPr fontId="3" type="noConversion"/>
  </si>
  <si>
    <t>站点名称</t>
    <phoneticPr fontId="3" type="noConversion"/>
  </si>
  <si>
    <t>渠道收入</t>
    <phoneticPr fontId="3" type="noConversion"/>
  </si>
  <si>
    <t>开始日期</t>
    <phoneticPr fontId="3" type="noConversion"/>
  </si>
  <si>
    <t>结束日期</t>
    <phoneticPr fontId="3" type="noConversion"/>
  </si>
  <si>
    <t>站点A</t>
    <phoneticPr fontId="3" type="noConversion"/>
  </si>
  <si>
    <t>CPT渠道</t>
    <phoneticPr fontId="3" type="noConversion"/>
  </si>
  <si>
    <t>指对应渠道在所选择的时间段内新增首存用户的累计ROI，计算公式=渠道累计收入/投入费用</t>
    <phoneticPr fontId="3" type="noConversion"/>
  </si>
  <si>
    <t>指所选择的时间段投放金额总和（需投放金额上传至AI并做记录）</t>
    <phoneticPr fontId="3" type="noConversion"/>
  </si>
  <si>
    <t>新客转化</t>
    <phoneticPr fontId="3" type="noConversion"/>
  </si>
  <si>
    <t>投注返利</t>
    <phoneticPr fontId="3" type="noConversion"/>
  </si>
  <si>
    <t>次存人数</t>
  </si>
  <si>
    <t>次存率</t>
    <phoneticPr fontId="3" type="noConversion"/>
  </si>
  <si>
    <t>三存人数</t>
  </si>
  <si>
    <t>三存率</t>
    <phoneticPr fontId="3" type="noConversion"/>
  </si>
  <si>
    <t>四存人数</t>
    <phoneticPr fontId="3" type="noConversion"/>
  </si>
  <si>
    <t>四存率</t>
    <phoneticPr fontId="3" type="noConversion"/>
  </si>
  <si>
    <t>五存人数</t>
    <phoneticPr fontId="3" type="noConversion"/>
  </si>
  <si>
    <t>五存率</t>
    <phoneticPr fontId="3" type="noConversion"/>
  </si>
  <si>
    <t>六存人数</t>
    <phoneticPr fontId="3" type="noConversion"/>
  </si>
  <si>
    <t>六存率</t>
    <phoneticPr fontId="3" type="noConversion"/>
  </si>
  <si>
    <t>用户类型</t>
    <phoneticPr fontId="3" type="noConversion"/>
  </si>
  <si>
    <t>全部用户</t>
    <phoneticPr fontId="3" type="noConversion"/>
  </si>
  <si>
    <t>VIP1/2/3/4…</t>
    <phoneticPr fontId="3" type="noConversion"/>
  </si>
  <si>
    <t>指对应渠道在所选择的时间段内新增首存用户，在对应累计周期产生的渠道收入，计算公式=累计输赢金额-累计（任务彩金+洗码金额+营销金额+优惠加扣款）</t>
    <phoneticPr fontId="3" type="noConversion"/>
  </si>
  <si>
    <t>示例：渠道整体ROI表，ROI=渠道累计收入/投放金额</t>
    <phoneticPr fontId="3" type="noConversion"/>
  </si>
  <si>
    <t>四存人数</t>
  </si>
  <si>
    <t>五存人数</t>
  </si>
  <si>
    <t>六存人数</t>
  </si>
  <si>
    <t>首存人数及人均金额</t>
    <phoneticPr fontId="3" type="noConversion"/>
  </si>
  <si>
    <t>指所选渠道，在对应日期新增注册人数总和</t>
    <phoneticPr fontId="3" type="noConversion"/>
  </si>
  <si>
    <t>人均金额</t>
    <phoneticPr fontId="3" type="noConversion"/>
  </si>
  <si>
    <t>次存人数/首存人数</t>
    <phoneticPr fontId="3" type="noConversion"/>
  </si>
  <si>
    <t>三存人数/首存人数</t>
    <phoneticPr fontId="3" type="noConversion"/>
  </si>
  <si>
    <t>四存人数/首存人数</t>
    <phoneticPr fontId="3" type="noConversion"/>
  </si>
  <si>
    <t>五存人数/首存人数</t>
    <phoneticPr fontId="3" type="noConversion"/>
  </si>
  <si>
    <t>六存人数/首存人数</t>
    <phoneticPr fontId="3" type="noConversion"/>
  </si>
  <si>
    <t>汇总数据</t>
    <phoneticPr fontId="3" type="noConversion"/>
  </si>
  <si>
    <t>注册人数、首存人数、次存人数等以相加计算，汇总首存率等比例数据按汇总后的值用公式计算，如（汇总首存人数/汇总注册人数=首存率），汇总对应人均金额为（所选日期每日首存金额汇总/汇总首存人数）</t>
    <phoneticPr fontId="3" type="noConversion"/>
  </si>
  <si>
    <t>用户投充比与杀率</t>
    <phoneticPr fontId="3" type="noConversion"/>
  </si>
  <si>
    <t>输赢</t>
    <phoneticPr fontId="3" type="noConversion"/>
  </si>
  <si>
    <t>存款人数</t>
    <phoneticPr fontId="3" type="noConversion"/>
  </si>
  <si>
    <t>存款人数为去重汇总，存款金额、充提差、有效投注及输赢为相加</t>
    <phoneticPr fontId="3" type="noConversion"/>
  </si>
  <si>
    <t>指所选取的时间段内，该渠道新增首存用户，在该时间段内达到最高的VIP等级对应的用户群（可单选或多选）</t>
    <phoneticPr fontId="3" type="noConversion"/>
  </si>
  <si>
    <t>指所选择渠道，在对应日期发生任意存款金额的用户总数</t>
    <phoneticPr fontId="3" type="noConversion"/>
  </si>
  <si>
    <t>指所选择渠道，在对应日期用户总存款-总提款</t>
    <phoneticPr fontId="3" type="noConversion"/>
  </si>
  <si>
    <t>指所选择渠道，在对应日期用户发生的有效流水金额</t>
    <phoneticPr fontId="3" type="noConversion"/>
  </si>
  <si>
    <t>输赢/有效投注</t>
    <phoneticPr fontId="3" type="noConversion"/>
  </si>
  <si>
    <t>有效投注/存款金额</t>
    <phoneticPr fontId="3" type="noConversion"/>
  </si>
  <si>
    <t>捕鱼</t>
    <phoneticPr fontId="3" type="noConversion"/>
  </si>
  <si>
    <t>彩票</t>
    <phoneticPr fontId="3" type="noConversion"/>
  </si>
  <si>
    <t>电子-老虎机</t>
    <phoneticPr fontId="3" type="noConversion"/>
  </si>
  <si>
    <t>电子-街机</t>
    <phoneticPr fontId="3" type="noConversion"/>
  </si>
  <si>
    <t>电子棋牌</t>
    <phoneticPr fontId="3" type="noConversion"/>
  </si>
  <si>
    <t>体育</t>
    <phoneticPr fontId="3" type="noConversion"/>
  </si>
  <si>
    <t>视讯</t>
    <phoneticPr fontId="3" type="noConversion"/>
  </si>
  <si>
    <t>电子-奖池</t>
    <phoneticPr fontId="3" type="noConversion"/>
  </si>
  <si>
    <t>真人棋牌</t>
    <phoneticPr fontId="3" type="noConversion"/>
  </si>
  <si>
    <t>棋牌锦标赛</t>
    <phoneticPr fontId="3" type="noConversion"/>
  </si>
  <si>
    <t>合计</t>
    <phoneticPr fontId="3" type="noConversion"/>
  </si>
  <si>
    <t>…</t>
    <phoneticPr fontId="3" type="noConversion"/>
  </si>
  <si>
    <t>电竞</t>
    <phoneticPr fontId="3" type="noConversion"/>
  </si>
  <si>
    <t>类型</t>
    <phoneticPr fontId="3" type="noConversion"/>
  </si>
  <si>
    <t>有效投注流水</t>
    <phoneticPr fontId="3" type="noConversion"/>
  </si>
  <si>
    <t>投注占比</t>
    <phoneticPr fontId="3" type="noConversion"/>
  </si>
  <si>
    <t>指所选在时间段，对应渠道的对应人群，有效投注流水总和</t>
    <phoneticPr fontId="3" type="noConversion"/>
  </si>
  <si>
    <t>指所选在时间段，对应渠道的对应人群，游戏输赢总和</t>
    <phoneticPr fontId="3" type="noConversion"/>
  </si>
  <si>
    <t>输赢/有效投注流水</t>
    <phoneticPr fontId="3" type="noConversion"/>
  </si>
  <si>
    <t>对应类别投注流水/合计有效投注流水</t>
    <phoneticPr fontId="3" type="noConversion"/>
  </si>
  <si>
    <t>首存用户数</t>
    <phoneticPr fontId="3" type="noConversion"/>
  </si>
  <si>
    <t>占比</t>
    <phoneticPr fontId="3" type="noConversion"/>
  </si>
  <si>
    <t>20元</t>
    <phoneticPr fontId="3" type="noConversion"/>
  </si>
  <si>
    <t>30元</t>
    <phoneticPr fontId="3" type="noConversion"/>
  </si>
  <si>
    <t>50元</t>
    <phoneticPr fontId="3" type="noConversion"/>
  </si>
  <si>
    <t>100元</t>
    <phoneticPr fontId="3" type="noConversion"/>
  </si>
  <si>
    <t>200元</t>
    <phoneticPr fontId="3" type="noConversion"/>
  </si>
  <si>
    <t>300元</t>
    <phoneticPr fontId="3" type="noConversion"/>
  </si>
  <si>
    <t>400元</t>
    <phoneticPr fontId="3" type="noConversion"/>
  </si>
  <si>
    <t>500元</t>
    <phoneticPr fontId="3" type="noConversion"/>
  </si>
  <si>
    <t>1,000元</t>
    <phoneticPr fontId="3" type="noConversion"/>
  </si>
  <si>
    <t>2000元</t>
    <phoneticPr fontId="3" type="noConversion"/>
  </si>
  <si>
    <t>其他金额</t>
    <phoneticPr fontId="3" type="noConversion"/>
  </si>
  <si>
    <t>首存10元</t>
    <phoneticPr fontId="3" type="noConversion"/>
  </si>
  <si>
    <t>首存金额分布</t>
    <phoneticPr fontId="3" type="noConversion"/>
  </si>
  <si>
    <t>投注</t>
    <phoneticPr fontId="3" type="noConversion"/>
  </si>
  <si>
    <t>优惠</t>
    <phoneticPr fontId="3" type="noConversion"/>
  </si>
  <si>
    <t>TOP3/5用户</t>
    <phoneticPr fontId="3" type="noConversion"/>
  </si>
  <si>
    <t>非TOP3/5</t>
    <phoneticPr fontId="3" type="noConversion"/>
  </si>
  <si>
    <t>投注数</t>
    <phoneticPr fontId="3" type="noConversion"/>
  </si>
  <si>
    <t>均注金额</t>
    <phoneticPr fontId="3" type="noConversion"/>
  </si>
  <si>
    <t>指所选择渠道当日有效投注流水的总额（剔除和局、单局无风险对冲投注，使用当前后台定义）</t>
    <phoneticPr fontId="3" type="noConversion"/>
  </si>
  <si>
    <t>合计优惠</t>
    <phoneticPr fontId="3" type="noConversion"/>
  </si>
  <si>
    <t>洗码</t>
    <phoneticPr fontId="3" type="noConversion"/>
  </si>
  <si>
    <t>营销+彩票</t>
    <phoneticPr fontId="3" type="noConversion"/>
  </si>
  <si>
    <t>任务彩金+洗码金额+优惠加扣款+营销彩票</t>
    <phoneticPr fontId="3" type="noConversion"/>
  </si>
  <si>
    <t>首存总金额/首存人数，后续次存、三存等以此类推</t>
    <phoneticPr fontId="3" type="noConversion"/>
  </si>
  <si>
    <t>下注次数</t>
    <phoneticPr fontId="3" type="noConversion"/>
  </si>
  <si>
    <t>指所选时间段，对应渠道的对应人群，在该类型游戏总下注次数（使用当前后台数据逻辑）</t>
    <phoneticPr fontId="3" type="noConversion"/>
  </si>
  <si>
    <t>有效投注流水/下注次数</t>
    <phoneticPr fontId="3" type="noConversion"/>
  </si>
  <si>
    <t>分为渠道整体用户、TOP3/5用户、非TOP3/5用户，TOP3/5指该渠道在该时间周期内，投注流水总额前3/5</t>
    <phoneticPr fontId="3" type="noConversion"/>
  </si>
  <si>
    <t>首存用户</t>
    <phoneticPr fontId="3" type="noConversion"/>
  </si>
  <si>
    <t>用户属性</t>
    <phoneticPr fontId="3" type="noConversion"/>
  </si>
  <si>
    <t>2000元以上</t>
    <phoneticPr fontId="3" type="noConversion"/>
  </si>
  <si>
    <t>其他</t>
    <phoneticPr fontId="3" type="noConversion"/>
  </si>
  <si>
    <t>指所选择渠道，首存用户第一次存款金额10元的人数数量</t>
    <phoneticPr fontId="3" type="noConversion"/>
  </si>
  <si>
    <t>指所选渠道，首存用户第一次存款金额在2000元以上的人数数量</t>
    <phoneticPr fontId="3" type="noConversion"/>
  </si>
  <si>
    <t>指所选其他，首存用户第一次存款金额在2000元以内但不在表上标注的金额额度的人数数量</t>
    <phoneticPr fontId="3" type="noConversion"/>
  </si>
  <si>
    <t>VIP1/2/3…</t>
    <phoneticPr fontId="3" type="noConversion"/>
  </si>
  <si>
    <t>用户人数</t>
    <phoneticPr fontId="3" type="noConversion"/>
  </si>
  <si>
    <t>TOP3</t>
    <phoneticPr fontId="3" type="noConversion"/>
  </si>
  <si>
    <t>非TOP3</t>
    <phoneticPr fontId="3" type="noConversion"/>
  </si>
  <si>
    <t>所有用户</t>
    <phoneticPr fontId="3" type="noConversion"/>
  </si>
  <si>
    <t>指所选择渠道，在对应日期首存用户，有第二次存款的会员数总和</t>
    <phoneticPr fontId="3" type="noConversion"/>
  </si>
  <si>
    <t>三存人数</t>
    <phoneticPr fontId="3" type="noConversion"/>
  </si>
  <si>
    <t>指所选择渠道，在对应日期首存用户，有第三次存款的会员数总和</t>
    <phoneticPr fontId="3" type="noConversion"/>
  </si>
  <si>
    <t>指所选择渠道，在对应日期首存用户，有第四次存款的会员数总和</t>
    <phoneticPr fontId="3" type="noConversion"/>
  </si>
  <si>
    <t>指所选择渠道，在对应日期首存用户，有第五次存款的会员数总和</t>
    <phoneticPr fontId="3" type="noConversion"/>
  </si>
  <si>
    <t>指所选择渠道，在对应日期首存用户，有第六次存款的会员数总和</t>
    <phoneticPr fontId="3" type="noConversion"/>
  </si>
  <si>
    <t>默认近7天的每日数据展示（含当天数据），可根据指令自定时间段以及定时发送</t>
    <phoneticPr fontId="3" type="noConversion"/>
  </si>
  <si>
    <t>首日杀率</t>
    <phoneticPr fontId="3" type="noConversion"/>
  </si>
  <si>
    <t>2日杀率</t>
    <phoneticPr fontId="3" type="noConversion"/>
  </si>
  <si>
    <t>3日杀率</t>
  </si>
  <si>
    <t>4日杀率</t>
  </si>
  <si>
    <t>5日杀率</t>
  </si>
  <si>
    <t>6日杀率</t>
  </si>
  <si>
    <t>7日杀率</t>
  </si>
  <si>
    <t>8日杀率</t>
  </si>
  <si>
    <t>9日杀率</t>
  </si>
  <si>
    <t>10日杀率</t>
  </si>
  <si>
    <t>11日杀率</t>
  </si>
  <si>
    <t>12日杀率</t>
  </si>
  <si>
    <t>13日杀率</t>
  </si>
  <si>
    <t>14日杀率</t>
  </si>
  <si>
    <t>15日杀率</t>
  </si>
  <si>
    <t>首存及续存率</t>
    <phoneticPr fontId="3" type="noConversion"/>
  </si>
  <si>
    <t>投充比与杀率</t>
    <phoneticPr fontId="3" type="noConversion"/>
  </si>
  <si>
    <t>游戏类型流水分布</t>
    <phoneticPr fontId="3" type="noConversion"/>
  </si>
  <si>
    <t>在用户属性下进行分类，所有用户、TOP3用户、非TOP3，TOP3指该渠道在该时间周期内，投注流水总额前3</t>
    <phoneticPr fontId="3" type="noConversion"/>
  </si>
  <si>
    <t>16日杀率</t>
  </si>
  <si>
    <t>17日杀率</t>
  </si>
  <si>
    <t>18日杀率</t>
  </si>
  <si>
    <t>全部/TOP3/非TOP3</t>
    <phoneticPr fontId="3" type="noConversion"/>
  </si>
  <si>
    <t>首日投充比</t>
    <phoneticPr fontId="3" type="noConversion"/>
  </si>
  <si>
    <t>2日投充比</t>
    <phoneticPr fontId="3" type="noConversion"/>
  </si>
  <si>
    <t>3日投充比</t>
  </si>
  <si>
    <t>4日投充比</t>
  </si>
  <si>
    <t>5日投充比</t>
  </si>
  <si>
    <t>6日投充比</t>
  </si>
  <si>
    <t>7日投充比</t>
  </si>
  <si>
    <t>8日投充比</t>
  </si>
  <si>
    <t>9日投充比</t>
  </si>
  <si>
    <t>10日投充比</t>
  </si>
  <si>
    <t>11日投充比</t>
  </si>
  <si>
    <t>12日投充比</t>
  </si>
  <si>
    <t>13日投充比</t>
  </si>
  <si>
    <t>14日投充比</t>
  </si>
  <si>
    <t>15日投充比</t>
  </si>
  <si>
    <t>16日投充比</t>
  </si>
  <si>
    <t>17日投充比</t>
  </si>
  <si>
    <t>18日投充比</t>
  </si>
  <si>
    <t>用户数</t>
    <phoneticPr fontId="3" type="noConversion"/>
  </si>
  <si>
    <t>第一期</t>
    <phoneticPr fontId="3" type="noConversion"/>
  </si>
  <si>
    <t>开发期数</t>
    <phoneticPr fontId="3" type="noConversion"/>
  </si>
  <si>
    <t>模块</t>
    <phoneticPr fontId="3" type="noConversion"/>
  </si>
  <si>
    <t>数据报表</t>
    <phoneticPr fontId="3" type="noConversion"/>
  </si>
  <si>
    <t>ROI回收表</t>
    <phoneticPr fontId="3" type="noConversion"/>
  </si>
  <si>
    <t>首存用户可选择日/周/月或自定义时段，渠道所有活跃用户则选择时间段区间</t>
    <phoneticPr fontId="3" type="noConversion"/>
  </si>
  <si>
    <t>示例：首存用户杀率趋势变化（日/周/月）</t>
    <phoneticPr fontId="3" type="noConversion"/>
  </si>
  <si>
    <t>示例：首存用户投充倍数趋势变化（日/周/月）</t>
    <phoneticPr fontId="3" type="noConversion"/>
  </si>
  <si>
    <t>该渠道首存用户、所有用户（含新老用户）</t>
    <phoneticPr fontId="3" type="noConversion"/>
  </si>
  <si>
    <t>展示至截止拉取表格当日</t>
    <phoneticPr fontId="3" type="noConversion"/>
  </si>
  <si>
    <t>示例：渠道所有用户杀率及投充比，在提取时间段的数据</t>
    <phoneticPr fontId="3" type="noConversion"/>
  </si>
  <si>
    <t>指所选取的时间段内，该渠道新增首存用户，在该时间段内有效投注流水的前3用户</t>
    <phoneticPr fontId="3" type="noConversion"/>
  </si>
  <si>
    <t>全部用户/TOP3/非TOP3/VIP1…</t>
    <phoneticPr fontId="3" type="noConversion"/>
  </si>
  <si>
    <t>示例：渠道TOP3 ROI表，ROI=TOP3渠道累计收入/投放金额</t>
    <phoneticPr fontId="3" type="noConversion"/>
  </si>
  <si>
    <t>渠道累计收入计算公式=渠道输赢金额-（任务彩金+洗码金额+营销金额+优惠加扣款）</t>
    <phoneticPr fontId="3" type="noConversion"/>
  </si>
  <si>
    <t>渠道TOP3累计收入计算公式=渠道TOP3用户输赢金额- TOP3（任务彩金+洗码金额+营销金额+优惠加扣款）</t>
    <phoneticPr fontId="3" type="noConversion"/>
  </si>
  <si>
    <t>所有用户投充比</t>
    <phoneticPr fontId="3" type="noConversion"/>
  </si>
  <si>
    <t>综合日报表</t>
    <phoneticPr fontId="3" type="noConversion"/>
  </si>
  <si>
    <t>平台/渠道综合报表</t>
    <phoneticPr fontId="3" type="noConversion"/>
  </si>
  <si>
    <t>渠道注册统计</t>
    <phoneticPr fontId="3" type="noConversion"/>
  </si>
  <si>
    <t>会员首充统计</t>
    <phoneticPr fontId="3" type="noConversion"/>
  </si>
  <si>
    <t>续存统计表</t>
    <phoneticPr fontId="3" type="noConversion"/>
  </si>
  <si>
    <t>后台报表</t>
    <phoneticPr fontId="3" type="noConversion"/>
  </si>
  <si>
    <t>备注</t>
    <phoneticPr fontId="3" type="noConversion"/>
  </si>
  <si>
    <t>使用原有数据字段，计算组合新表格</t>
    <phoneticPr fontId="3" type="noConversion"/>
  </si>
  <si>
    <t>渠道需求</t>
    <phoneticPr fontId="3" type="noConversion"/>
  </si>
  <si>
    <t>首存金额分布与占比</t>
    <phoneticPr fontId="3" type="noConversion"/>
  </si>
  <si>
    <t>普通会员（VIP0）</t>
  </si>
  <si>
    <t>VIP分层口径</t>
  </si>
  <si>
    <t>VIP0 / VIP1 / VIP2 / ... 展示时，统一按所选统计区间内达到的最高 VIP 等级归类，不按查询时点当前 VIP 等级归类。
例如：某用户在统计区间内由 VIP1 升至 VIP3，则该用户归入 VIP</t>
  </si>
  <si>
    <t>指所选择渠道，在对应日期用户在输赢给平台的金额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</si>
</sst>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"/>
    <numFmt numFmtId="165" formatCode="m&quot;月&quot;d&quot;日&quot;;@"/>
    <numFmt numFmtId="166" formatCode="0.0%"/>
  </numFmts>
  <fonts count="17" x14ac:knownFonts="1">
    <font>
      <sz val="12"/>
      <color theme="1"/>
      <name val="Aptos Narrow"/>
      <family val="2"/>
      <charset val="134"/>
      <scheme val="minor"/>
    </font>
    <font>
      <sz val="12"/>
      <color theme="1"/>
      <name val="Aptos Narrow"/>
      <family val="2"/>
      <charset val="134"/>
      <scheme val="minor"/>
    </font>
    <font>
      <sz val="12"/>
      <color rgb="FFFF000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4"/>
      <color theme="0"/>
      <name val="Aptos Narrow"/>
      <family val="4"/>
      <charset val="134"/>
      <scheme val="minor"/>
    </font>
    <font>
      <sz val="14"/>
      <color theme="1"/>
      <name val="Aptos Narrow"/>
      <family val="4"/>
      <charset val="134"/>
      <scheme val="minor"/>
    </font>
    <font>
      <b/>
      <sz val="14"/>
      <color theme="1"/>
      <name val="Aptos Narrow"/>
      <family val="4"/>
      <charset val="134"/>
      <scheme val="minor"/>
    </font>
    <font>
      <sz val="14"/>
      <color theme="1"/>
      <name val="Aptos Narrow"/>
      <family val="2"/>
      <charset val="134"/>
      <scheme val="minor"/>
    </font>
    <font>
      <b/>
      <sz val="14"/>
      <color theme="1"/>
      <name val="SimSun"/>
      <family val="2"/>
      <charset val="134"/>
    </font>
    <font>
      <b/>
      <sz val="14"/>
      <color theme="1"/>
      <name val="Helvetica Neue"/>
      <family val="2"/>
    </font>
    <font>
      <sz val="14"/>
      <color theme="1"/>
      <name val="SimSun"/>
      <family val="2"/>
      <charset val="134"/>
    </font>
    <font>
      <sz val="14"/>
      <color rgb="FFFF0000"/>
      <name val="Aptos Narrow"/>
      <family val="2"/>
      <charset val="134"/>
      <scheme val="minor"/>
    </font>
    <font>
      <b/>
      <sz val="14"/>
      <color theme="1"/>
      <name val="Aptos Narrow"/>
      <family val="2"/>
      <charset val="134"/>
      <scheme val="minor"/>
    </font>
    <font>
      <sz val="14"/>
      <color rgb="FF000000"/>
      <name val="Aptos Narrow"/>
      <family val="4"/>
      <charset val="134"/>
      <scheme val="minor"/>
    </font>
    <font>
      <sz val="14"/>
      <color theme="1"/>
      <name val="SimSun"/>
      <family val="3"/>
      <charset val="134"/>
    </font>
    <font>
      <b/>
      <sz val="14"/>
      <color rgb="FFFF0000"/>
      <name val="Aptos Narrow"/>
      <family val="4"/>
      <charset val="134"/>
      <scheme val="minor"/>
    </font>
    <font>
      <sz val="14"/>
      <color rgb="FFFF0000"/>
      <name val="SimSun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>
      <alignment vertical="center"/>
    </xf>
    <xf numFmtId="14" fontId="5" fillId="2" borderId="3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>
      <alignment vertical="center"/>
    </xf>
    <xf numFmtId="0" fontId="4" fillId="3" borderId="0" xfId="0" applyFont="1" applyFill="1" applyAlignment="1">
      <alignment horizontal="center" vertical="center"/>
    </xf>
    <xf numFmtId="0" fontId="0" fillId="2" borderId="9" xfId="0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6" fillId="2" borderId="0" xfId="0" applyFont="1" applyFill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5" fillId="2" borderId="17" xfId="0" applyFont="1" applyFill="1" applyBorder="1">
      <alignment vertical="center"/>
    </xf>
    <xf numFmtId="0" fontId="5" fillId="2" borderId="18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7" fillId="2" borderId="20" xfId="0" applyFont="1" applyFill="1" applyBorder="1">
      <alignment vertical="center"/>
    </xf>
    <xf numFmtId="0" fontId="7" fillId="2" borderId="22" xfId="0" applyFont="1" applyFill="1" applyBorder="1">
      <alignment vertical="center"/>
    </xf>
    <xf numFmtId="0" fontId="7" fillId="2" borderId="21" xfId="0" applyFont="1" applyFill="1" applyBorder="1">
      <alignment vertical="center"/>
    </xf>
    <xf numFmtId="16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>
      <alignment vertical="center"/>
    </xf>
    <xf numFmtId="0" fontId="7" fillId="2" borderId="17" xfId="0" applyFont="1" applyFill="1" applyBorder="1">
      <alignment vertical="center"/>
    </xf>
    <xf numFmtId="0" fontId="7" fillId="2" borderId="18" xfId="0" applyFont="1" applyFill="1" applyBorder="1">
      <alignment vertical="center"/>
    </xf>
    <xf numFmtId="0" fontId="8" fillId="2" borderId="9" xfId="0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/>
    </xf>
    <xf numFmtId="10" fontId="7" fillId="2" borderId="9" xfId="1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65" fontId="7" fillId="2" borderId="18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2" fillId="2" borderId="0" xfId="0" applyFont="1" applyFill="1">
      <alignment vertical="center"/>
    </xf>
    <xf numFmtId="0" fontId="12" fillId="2" borderId="9" xfId="0" applyFont="1" applyFill="1" applyBorder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" fontId="5" fillId="2" borderId="9" xfId="0" applyNumberFormat="1" applyFont="1" applyFill="1" applyBorder="1" applyAlignment="1">
      <alignment horizontal="center" vertical="center"/>
    </xf>
    <xf numFmtId="4" fontId="7" fillId="2" borderId="9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3" fillId="4" borderId="4" xfId="0" applyFont="1" applyFill="1" applyBorder="1">
      <alignment vertical="center"/>
    </xf>
    <xf numFmtId="166" fontId="5" fillId="2" borderId="9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166" fontId="7" fillId="2" borderId="0" xfId="0" applyNumberFormat="1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6" fontId="7" fillId="2" borderId="9" xfId="0" applyNumberFormat="1" applyFont="1" applyFill="1" applyBorder="1" applyAlignment="1">
      <alignment horizontal="center" vertical="center"/>
    </xf>
    <xf numFmtId="166" fontId="5" fillId="2" borderId="9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/>
    </xf>
    <xf numFmtId="4" fontId="5" fillId="2" borderId="3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center" vertical="center"/>
    </xf>
    <xf numFmtId="4" fontId="7" fillId="2" borderId="15" xfId="0" applyNumberFormat="1" applyFont="1" applyFill="1" applyBorder="1" applyAlignment="1">
      <alignment horizontal="center" vertical="center"/>
    </xf>
    <xf numFmtId="4" fontId="7" fillId="2" borderId="10" xfId="0" applyNumberFormat="1" applyFont="1" applyFill="1" applyBorder="1" applyAlignment="1">
      <alignment horizontal="center" vertical="center"/>
    </xf>
    <xf numFmtId="10" fontId="5" fillId="2" borderId="9" xfId="1" applyNumberFormat="1" applyFont="1" applyFill="1" applyBorder="1" applyAlignment="1">
      <alignment horizontal="center" vertical="center"/>
    </xf>
    <xf numFmtId="165" fontId="7" fillId="2" borderId="14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>
      <alignment vertical="center"/>
    </xf>
    <xf numFmtId="0" fontId="15" fillId="2" borderId="0" xfId="0" applyFont="1" applyFill="1">
      <alignment vertical="center"/>
    </xf>
    <xf numFmtId="10" fontId="5" fillId="2" borderId="9" xfId="0" applyNumberFormat="1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165" fontId="7" fillId="2" borderId="24" xfId="0" applyNumberFormat="1" applyFont="1" applyFill="1" applyBorder="1" applyAlignment="1">
      <alignment horizontal="center" vertical="center"/>
    </xf>
    <xf numFmtId="165" fontId="7" fillId="2" borderId="16" xfId="0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3" fontId="7" fillId="2" borderId="15" xfId="0" applyNumberFormat="1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3" fontId="7" fillId="2" borderId="16" xfId="0" applyNumberFormat="1" applyFont="1" applyFill="1" applyBorder="1" applyAlignment="1">
      <alignment horizontal="center" vertical="center"/>
    </xf>
    <xf numFmtId="165" fontId="7" fillId="2" borderId="11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14" fontId="5" fillId="2" borderId="11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88D6-AB79-F849-ABFB-05C3C1354509}">
  <dimension ref="B2:E12"/>
  <sheetViews>
    <sheetView workbookViewId="0">
      <selection activeCell="B16" sqref="B16"/>
    </sheetView>
  </sheetViews>
  <sheetFormatPr baseColWidth="10" defaultColWidth="14.83203125" defaultRowHeight="25" customHeight="1" x14ac:dyDescent="0.2"/>
  <cols>
    <col min="1" max="1" width="8.83203125" style="8" customWidth="1"/>
    <col min="2" max="2" width="23.83203125" style="8" customWidth="1"/>
    <col min="3" max="3" width="27" style="8" customWidth="1"/>
    <col min="4" max="4" width="49" style="8" customWidth="1"/>
    <col min="5" max="5" width="42.1640625" style="8" customWidth="1"/>
    <col min="6" max="16384" width="14.83203125" style="8"/>
  </cols>
  <sheetData>
    <row r="2" spans="2:5" ht="25" customHeight="1" x14ac:dyDescent="0.2">
      <c r="B2" s="102" t="s">
        <v>261</v>
      </c>
      <c r="C2" s="102" t="s">
        <v>262</v>
      </c>
      <c r="D2" s="102" t="s">
        <v>263</v>
      </c>
      <c r="E2" s="102" t="s">
        <v>283</v>
      </c>
    </row>
    <row r="3" spans="2:5" ht="25" customHeight="1" x14ac:dyDescent="0.2">
      <c r="B3" s="107" t="s">
        <v>260</v>
      </c>
      <c r="C3" s="107" t="s">
        <v>282</v>
      </c>
      <c r="D3" s="105" t="s">
        <v>277</v>
      </c>
      <c r="E3" s="107"/>
    </row>
    <row r="4" spans="2:5" ht="25" customHeight="1" x14ac:dyDescent="0.2">
      <c r="B4" s="107"/>
      <c r="C4" s="107"/>
      <c r="D4" s="105" t="s">
        <v>278</v>
      </c>
      <c r="E4" s="107"/>
    </row>
    <row r="5" spans="2:5" ht="25" customHeight="1" x14ac:dyDescent="0.2">
      <c r="B5" s="107"/>
      <c r="C5" s="107"/>
      <c r="D5" s="105" t="s">
        <v>279</v>
      </c>
      <c r="E5" s="107"/>
    </row>
    <row r="6" spans="2:5" ht="25" customHeight="1" x14ac:dyDescent="0.2">
      <c r="B6" s="107"/>
      <c r="C6" s="107"/>
      <c r="D6" s="105" t="s">
        <v>280</v>
      </c>
      <c r="E6" s="107"/>
    </row>
    <row r="7" spans="2:5" ht="25" customHeight="1" x14ac:dyDescent="0.2">
      <c r="B7" s="107"/>
      <c r="C7" s="107"/>
      <c r="D7" s="105" t="s">
        <v>281</v>
      </c>
      <c r="E7" s="107"/>
    </row>
    <row r="8" spans="2:5" ht="25" customHeight="1" x14ac:dyDescent="0.2">
      <c r="B8" s="107"/>
      <c r="C8" s="106" t="s">
        <v>285</v>
      </c>
      <c r="D8" s="103" t="s">
        <v>264</v>
      </c>
      <c r="E8" s="108" t="s">
        <v>284</v>
      </c>
    </row>
    <row r="9" spans="2:5" ht="25" customHeight="1" x14ac:dyDescent="0.2">
      <c r="B9" s="107"/>
      <c r="C9" s="106"/>
      <c r="D9" s="103" t="s">
        <v>233</v>
      </c>
      <c r="E9" s="109"/>
    </row>
    <row r="10" spans="2:5" ht="25" customHeight="1" x14ac:dyDescent="0.2">
      <c r="B10" s="107"/>
      <c r="C10" s="106"/>
      <c r="D10" s="103" t="s">
        <v>234</v>
      </c>
      <c r="E10" s="109"/>
    </row>
    <row r="11" spans="2:5" ht="25" customHeight="1" x14ac:dyDescent="0.2">
      <c r="B11" s="107"/>
      <c r="C11" s="106"/>
      <c r="D11" s="103" t="s">
        <v>235</v>
      </c>
      <c r="E11" s="109"/>
    </row>
    <row r="12" spans="2:5" ht="25" customHeight="1" x14ac:dyDescent="0.2">
      <c r="B12" s="107"/>
      <c r="C12" s="106"/>
      <c r="D12" s="103" t="s">
        <v>286</v>
      </c>
      <c r="E12" s="110"/>
    </row>
  </sheetData>
  <mergeCells count="5">
    <mergeCell ref="C8:C12"/>
    <mergeCell ref="C3:C7"/>
    <mergeCell ref="B3:B12"/>
    <mergeCell ref="E3:E7"/>
    <mergeCell ref="E8:E1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6630-9AFB-0145-AFED-135B4972A7DC}">
  <dimension ref="A1:AG46"/>
  <sheetViews>
    <sheetView topLeftCell="A10" zoomScaleNormal="100" workbookViewId="0">
      <selection activeCell="C36" sqref="C36"/>
    </sheetView>
  </sheetViews>
  <sheetFormatPr baseColWidth="10" defaultColWidth="14.83203125" defaultRowHeight="25" customHeight="1" x14ac:dyDescent="0.2"/>
  <cols>
    <col min="1" max="1" width="14.83203125" style="2"/>
    <col min="2" max="2" width="14.83203125" style="8"/>
    <col min="3" max="3" width="82.83203125" style="2" customWidth="1"/>
    <col min="4" max="16384" width="14.83203125" style="2"/>
  </cols>
  <sheetData>
    <row r="1" spans="1:5" ht="25" customHeight="1" x14ac:dyDescent="0.2">
      <c r="A1" s="16" t="s">
        <v>27</v>
      </c>
      <c r="B1" s="16" t="s">
        <v>28</v>
      </c>
      <c r="C1" s="112" t="s">
        <v>29</v>
      </c>
      <c r="D1" s="112"/>
      <c r="E1" s="112"/>
    </row>
    <row r="2" spans="1:5" ht="25" customHeight="1" x14ac:dyDescent="0.2">
      <c r="A2" s="113" t="s">
        <v>30</v>
      </c>
      <c r="B2" s="18" t="s">
        <v>1</v>
      </c>
      <c r="C2" s="21" t="s">
        <v>72</v>
      </c>
      <c r="D2" s="22"/>
      <c r="E2" s="22"/>
    </row>
    <row r="3" spans="1:5" ht="25" customHeight="1" x14ac:dyDescent="0.2">
      <c r="A3" s="114"/>
      <c r="B3" s="18" t="s">
        <v>25</v>
      </c>
      <c r="C3" s="21" t="s">
        <v>37</v>
      </c>
      <c r="D3" s="22"/>
      <c r="E3" s="22"/>
    </row>
    <row r="4" spans="1:5" ht="25" customHeight="1" x14ac:dyDescent="0.2">
      <c r="A4" s="114"/>
      <c r="B4" s="20" t="s">
        <v>26</v>
      </c>
      <c r="C4" s="21" t="s">
        <v>39</v>
      </c>
      <c r="D4" s="22"/>
      <c r="E4" s="22"/>
    </row>
    <row r="5" spans="1:5" ht="25" customHeight="1" x14ac:dyDescent="0.2">
      <c r="A5" s="114"/>
      <c r="B5" s="14" t="s">
        <v>8</v>
      </c>
      <c r="C5" s="22" t="s">
        <v>40</v>
      </c>
      <c r="D5" s="22"/>
      <c r="E5" s="22"/>
    </row>
    <row r="6" spans="1:5" ht="25" customHeight="1" x14ac:dyDescent="0.2">
      <c r="A6" s="115"/>
      <c r="B6" s="8" t="s">
        <v>7</v>
      </c>
      <c r="C6" s="21" t="s">
        <v>63</v>
      </c>
      <c r="D6" s="22"/>
      <c r="E6" s="22"/>
    </row>
    <row r="7" spans="1:5" ht="25" customHeight="1" x14ac:dyDescent="0.2">
      <c r="A7" s="113" t="s">
        <v>31</v>
      </c>
      <c r="B7" s="14" t="s">
        <v>2</v>
      </c>
      <c r="C7" s="21" t="s">
        <v>75</v>
      </c>
      <c r="D7" s="22"/>
      <c r="E7" s="22"/>
    </row>
    <row r="8" spans="1:5" ht="25" customHeight="1" x14ac:dyDescent="0.2">
      <c r="A8" s="114"/>
      <c r="B8" s="14" t="s">
        <v>18</v>
      </c>
      <c r="C8" s="21" t="s">
        <v>41</v>
      </c>
      <c r="D8" s="22"/>
      <c r="E8" s="22"/>
    </row>
    <row r="9" spans="1:5" ht="25" customHeight="1" x14ac:dyDescent="0.2">
      <c r="A9" s="114"/>
      <c r="B9" s="14" t="s">
        <v>35</v>
      </c>
      <c r="C9" s="21" t="s">
        <v>42</v>
      </c>
      <c r="D9" s="22"/>
      <c r="E9" s="22"/>
    </row>
    <row r="10" spans="1:5" ht="25" customHeight="1" x14ac:dyDescent="0.2">
      <c r="A10" s="114"/>
      <c r="B10" s="14" t="s">
        <v>36</v>
      </c>
      <c r="C10" s="21" t="s">
        <v>43</v>
      </c>
      <c r="D10" s="22"/>
      <c r="E10" s="22"/>
    </row>
    <row r="11" spans="1:5" ht="25" customHeight="1" x14ac:dyDescent="0.2">
      <c r="A11" s="114"/>
      <c r="B11" s="14" t="s">
        <v>77</v>
      </c>
      <c r="C11" s="21" t="s">
        <v>78</v>
      </c>
      <c r="D11" s="22"/>
      <c r="E11" s="22"/>
    </row>
    <row r="12" spans="1:5" ht="25" customHeight="1" x14ac:dyDescent="0.2">
      <c r="A12" s="114"/>
      <c r="B12" s="14" t="s">
        <v>19</v>
      </c>
      <c r="C12" s="21" t="s">
        <v>44</v>
      </c>
      <c r="D12" s="22"/>
      <c r="E12" s="22"/>
    </row>
    <row r="13" spans="1:5" ht="25" customHeight="1" x14ac:dyDescent="0.2">
      <c r="A13" s="114"/>
      <c r="B13" s="14" t="s">
        <v>6</v>
      </c>
      <c r="C13" s="21" t="s">
        <v>45</v>
      </c>
      <c r="D13" s="22"/>
      <c r="E13" s="22"/>
    </row>
    <row r="14" spans="1:5" ht="25" customHeight="1" x14ac:dyDescent="0.2">
      <c r="A14" s="108" t="s">
        <v>108</v>
      </c>
      <c r="B14" s="14" t="s">
        <v>50</v>
      </c>
      <c r="C14" s="21" t="s">
        <v>46</v>
      </c>
      <c r="D14" s="22"/>
      <c r="E14" s="22"/>
    </row>
    <row r="15" spans="1:5" ht="25" customHeight="1" x14ac:dyDescent="0.2">
      <c r="A15" s="109"/>
      <c r="B15" s="14" t="s">
        <v>49</v>
      </c>
      <c r="C15" s="21" t="s">
        <v>47</v>
      </c>
      <c r="D15" s="22"/>
      <c r="E15" s="22"/>
    </row>
    <row r="16" spans="1:5" ht="25" customHeight="1" x14ac:dyDescent="0.2">
      <c r="A16" s="109"/>
      <c r="B16" s="14" t="s">
        <v>3</v>
      </c>
      <c r="C16" s="21" t="s">
        <v>48</v>
      </c>
      <c r="D16" s="22"/>
      <c r="E16" s="22"/>
    </row>
    <row r="17" spans="1:7" ht="25" customHeight="1" x14ac:dyDescent="0.2">
      <c r="A17" s="109"/>
      <c r="B17" s="14" t="s">
        <v>32</v>
      </c>
      <c r="C17" s="21" t="s">
        <v>51</v>
      </c>
      <c r="D17" s="22"/>
      <c r="E17" s="22"/>
    </row>
    <row r="18" spans="1:7" ht="25" customHeight="1" x14ac:dyDescent="0.2">
      <c r="A18" s="109"/>
      <c r="B18" s="14" t="s">
        <v>11</v>
      </c>
      <c r="C18" s="21" t="s">
        <v>52</v>
      </c>
      <c r="D18" s="22"/>
      <c r="E18" s="22"/>
    </row>
    <row r="19" spans="1:7" ht="25" customHeight="1" x14ac:dyDescent="0.2">
      <c r="A19" s="109"/>
      <c r="B19" s="14" t="s">
        <v>4</v>
      </c>
      <c r="C19" s="21" t="s">
        <v>53</v>
      </c>
      <c r="D19" s="22"/>
      <c r="E19" s="22"/>
    </row>
    <row r="20" spans="1:7" ht="25" customHeight="1" x14ac:dyDescent="0.2">
      <c r="A20" s="109"/>
      <c r="B20" s="14" t="s">
        <v>13</v>
      </c>
      <c r="C20" s="21" t="s">
        <v>54</v>
      </c>
      <c r="D20" s="22"/>
      <c r="E20" s="22"/>
    </row>
    <row r="21" spans="1:7" ht="25" customHeight="1" x14ac:dyDescent="0.2">
      <c r="A21" s="109"/>
      <c r="B21" s="14" t="s">
        <v>15</v>
      </c>
      <c r="C21" s="21" t="s">
        <v>55</v>
      </c>
      <c r="D21" s="22"/>
      <c r="E21" s="22"/>
      <c r="G21" s="9"/>
    </row>
    <row r="22" spans="1:7" ht="25" customHeight="1" x14ac:dyDescent="0.2">
      <c r="A22" s="109"/>
      <c r="B22" s="14" t="s">
        <v>14</v>
      </c>
      <c r="C22" s="21" t="s">
        <v>56</v>
      </c>
      <c r="D22" s="22"/>
      <c r="E22" s="22"/>
    </row>
    <row r="23" spans="1:7" ht="25" customHeight="1" x14ac:dyDescent="0.2">
      <c r="A23" s="109"/>
      <c r="B23" s="14" t="s">
        <v>33</v>
      </c>
      <c r="C23" s="21" t="s">
        <v>57</v>
      </c>
      <c r="D23" s="22"/>
      <c r="E23" s="22"/>
    </row>
    <row r="24" spans="1:7" ht="25" customHeight="1" x14ac:dyDescent="0.2">
      <c r="A24" s="109"/>
      <c r="B24" s="14" t="s">
        <v>16</v>
      </c>
      <c r="C24" s="21" t="s">
        <v>58</v>
      </c>
      <c r="D24" s="22"/>
      <c r="E24" s="22"/>
    </row>
    <row r="25" spans="1:7" ht="25" customHeight="1" x14ac:dyDescent="0.2">
      <c r="A25" s="109"/>
      <c r="B25" s="14" t="s">
        <v>17</v>
      </c>
      <c r="C25" s="21" t="s">
        <v>59</v>
      </c>
      <c r="D25" s="22"/>
      <c r="E25" s="22"/>
    </row>
    <row r="26" spans="1:7" ht="25" customHeight="1" x14ac:dyDescent="0.2">
      <c r="A26" s="109"/>
      <c r="B26" s="14" t="s">
        <v>60</v>
      </c>
      <c r="C26" s="21" t="s">
        <v>61</v>
      </c>
      <c r="D26" s="22"/>
      <c r="E26" s="22"/>
    </row>
    <row r="27" spans="1:7" ht="25" customHeight="1" x14ac:dyDescent="0.2">
      <c r="A27" s="109"/>
      <c r="B27" s="14" t="s">
        <v>34</v>
      </c>
      <c r="C27" s="21" t="s">
        <v>62</v>
      </c>
      <c r="D27" s="22"/>
      <c r="E27" s="22"/>
    </row>
    <row r="28" spans="1:7" ht="25" customHeight="1" x14ac:dyDescent="0.2">
      <c r="A28" s="107" t="s">
        <v>109</v>
      </c>
      <c r="B28" s="14" t="s">
        <v>21</v>
      </c>
      <c r="C28" s="21" t="s">
        <v>64</v>
      </c>
      <c r="D28" s="22"/>
      <c r="E28" s="22"/>
    </row>
    <row r="29" spans="1:7" ht="25" customHeight="1" x14ac:dyDescent="0.2">
      <c r="A29" s="107"/>
      <c r="B29" s="14" t="s">
        <v>22</v>
      </c>
      <c r="C29" s="21" t="s">
        <v>189</v>
      </c>
      <c r="D29" s="22"/>
      <c r="E29" s="22"/>
    </row>
    <row r="30" spans="1:7" ht="25" customHeight="1" x14ac:dyDescent="0.2">
      <c r="A30" s="107"/>
      <c r="B30" s="14" t="s">
        <v>73</v>
      </c>
      <c r="C30" s="21" t="s">
        <v>74</v>
      </c>
      <c r="D30" s="22"/>
      <c r="E30" s="22"/>
    </row>
    <row r="31" spans="1:7" ht="25" customHeight="1" x14ac:dyDescent="0.2">
      <c r="A31" s="107"/>
      <c r="B31" s="14" t="s">
        <v>23</v>
      </c>
      <c r="C31" s="21" t="s">
        <v>65</v>
      </c>
      <c r="D31" s="22"/>
      <c r="E31" s="22"/>
    </row>
    <row r="32" spans="1:7" ht="25" customHeight="1" x14ac:dyDescent="0.2">
      <c r="A32" s="107"/>
      <c r="B32" s="14" t="s">
        <v>24</v>
      </c>
      <c r="C32" s="21" t="s">
        <v>66</v>
      </c>
      <c r="D32" s="22"/>
      <c r="E32" s="22"/>
    </row>
    <row r="33" spans="1:33" ht="25" customHeight="1" x14ac:dyDescent="0.2">
      <c r="A33" s="107"/>
      <c r="B33" s="14" t="s">
        <v>68</v>
      </c>
      <c r="C33" s="21" t="s">
        <v>69</v>
      </c>
      <c r="D33" s="22"/>
      <c r="E33" s="22"/>
    </row>
    <row r="34" spans="1:33" ht="25" customHeight="1" x14ac:dyDescent="0.2">
      <c r="A34" s="107"/>
      <c r="B34" s="14" t="s">
        <v>191</v>
      </c>
      <c r="C34" s="21" t="s">
        <v>70</v>
      </c>
      <c r="D34" s="22"/>
      <c r="E34" s="22"/>
    </row>
    <row r="35" spans="1:33" ht="25" customHeight="1" x14ac:dyDescent="0.2">
      <c r="A35" s="107"/>
      <c r="B35" s="14" t="s">
        <v>67</v>
      </c>
      <c r="C35" s="21" t="s">
        <v>76</v>
      </c>
      <c r="D35" s="22"/>
      <c r="E35" s="22"/>
    </row>
    <row r="36" spans="1:33" ht="25" customHeight="1" x14ac:dyDescent="0.2">
      <c r="A36" s="107"/>
      <c r="B36" s="14" t="s">
        <v>192</v>
      </c>
      <c r="C36" s="21" t="s">
        <v>71</v>
      </c>
      <c r="D36" s="22"/>
      <c r="E36" s="22"/>
    </row>
    <row r="37" spans="1:33" ht="25" customHeight="1" x14ac:dyDescent="0.2">
      <c r="A37" s="107"/>
      <c r="B37" s="14" t="s">
        <v>190</v>
      </c>
      <c r="C37" s="21" t="s">
        <v>193</v>
      </c>
      <c r="D37" s="22"/>
      <c r="E37" s="22"/>
    </row>
    <row r="40" spans="1:33" ht="25" customHeight="1" x14ac:dyDescent="0.2">
      <c r="A40" s="23" t="s">
        <v>38</v>
      </c>
    </row>
    <row r="41" spans="1:33" ht="28" customHeight="1" x14ac:dyDescent="0.2">
      <c r="A41" s="111" t="s">
        <v>1</v>
      </c>
      <c r="B41" s="111" t="s">
        <v>25</v>
      </c>
      <c r="C41" s="111" t="s">
        <v>26</v>
      </c>
      <c r="D41" s="111" t="s">
        <v>8</v>
      </c>
      <c r="E41" s="111" t="s">
        <v>0</v>
      </c>
      <c r="F41" s="111"/>
      <c r="G41" s="111"/>
      <c r="H41" s="111"/>
      <c r="I41" s="111"/>
      <c r="J41" s="111"/>
      <c r="K41" s="111" t="s">
        <v>20</v>
      </c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 t="s">
        <v>183</v>
      </c>
      <c r="Z41" s="111"/>
      <c r="AA41" s="111"/>
      <c r="AB41" s="111"/>
      <c r="AC41" s="111" t="s">
        <v>184</v>
      </c>
      <c r="AD41" s="111"/>
      <c r="AE41" s="111"/>
      <c r="AF41" s="111"/>
      <c r="AG41" s="111"/>
    </row>
    <row r="42" spans="1:33" s="3" customFormat="1" ht="33" customHeight="1" x14ac:dyDescent="0.2">
      <c r="A42" s="111"/>
      <c r="B42" s="111"/>
      <c r="C42" s="111"/>
      <c r="D42" s="111"/>
      <c r="E42" s="97" t="s">
        <v>2</v>
      </c>
      <c r="F42" s="97" t="s">
        <v>18</v>
      </c>
      <c r="G42" s="97" t="s">
        <v>35</v>
      </c>
      <c r="H42" s="97" t="s">
        <v>36</v>
      </c>
      <c r="I42" s="97" t="s">
        <v>19</v>
      </c>
      <c r="J42" s="97" t="s">
        <v>6</v>
      </c>
      <c r="K42" s="97" t="s">
        <v>9</v>
      </c>
      <c r="L42" s="97" t="s">
        <v>10</v>
      </c>
      <c r="M42" s="97" t="s">
        <v>3</v>
      </c>
      <c r="N42" s="97" t="s">
        <v>32</v>
      </c>
      <c r="O42" s="97" t="s">
        <v>11</v>
      </c>
      <c r="P42" s="97" t="s">
        <v>4</v>
      </c>
      <c r="Q42" s="97" t="s">
        <v>13</v>
      </c>
      <c r="R42" s="97" t="s">
        <v>15</v>
      </c>
      <c r="S42" s="97" t="s">
        <v>14</v>
      </c>
      <c r="T42" s="104" t="s">
        <v>33</v>
      </c>
      <c r="U42" s="97" t="s">
        <v>16</v>
      </c>
      <c r="V42" s="97" t="s">
        <v>17</v>
      </c>
      <c r="W42" s="104" t="s">
        <v>60</v>
      </c>
      <c r="X42" s="104" t="s">
        <v>34</v>
      </c>
      <c r="Y42" s="97" t="s">
        <v>21</v>
      </c>
      <c r="Z42" s="97" t="s">
        <v>22</v>
      </c>
      <c r="AA42" s="97" t="s">
        <v>23</v>
      </c>
      <c r="AB42" s="97" t="s">
        <v>24</v>
      </c>
      <c r="AC42" s="97" t="s">
        <v>68</v>
      </c>
      <c r="AD42" s="97" t="s">
        <v>191</v>
      </c>
      <c r="AE42" s="97" t="s">
        <v>67</v>
      </c>
      <c r="AF42" s="97" t="s">
        <v>192</v>
      </c>
      <c r="AG42" s="97" t="s">
        <v>190</v>
      </c>
    </row>
    <row r="43" spans="1:33" s="8" customFormat="1" ht="25" customHeight="1" x14ac:dyDescent="0.2">
      <c r="A43" s="10" t="s">
        <v>7</v>
      </c>
      <c r="B43" s="75" t="s">
        <v>104</v>
      </c>
      <c r="C43" s="75" t="s">
        <v>105</v>
      </c>
      <c r="D43" s="75" t="s">
        <v>95</v>
      </c>
      <c r="E43" s="11">
        <f>SUM(E44:E46)</f>
        <v>173000</v>
      </c>
      <c r="F43" s="11"/>
      <c r="G43" s="11"/>
      <c r="H43" s="11"/>
      <c r="I43" s="11"/>
      <c r="J43" s="11"/>
      <c r="K43" s="11">
        <f t="shared" ref="K43:Q43" si="0">SUM(K44:K46)</f>
        <v>102000</v>
      </c>
      <c r="L43" s="11">
        <f t="shared" si="0"/>
        <v>87000</v>
      </c>
      <c r="M43" s="11">
        <f t="shared" si="0"/>
        <v>22200</v>
      </c>
      <c r="N43" s="12">
        <f>M43/L43</f>
        <v>0.25517241379310346</v>
      </c>
      <c r="O43" s="11">
        <f t="shared" si="0"/>
        <v>5100</v>
      </c>
      <c r="P43" s="12">
        <f>O43/L43</f>
        <v>5.8620689655172413E-2</v>
      </c>
      <c r="Q43" s="11">
        <f t="shared" si="0"/>
        <v>1580</v>
      </c>
      <c r="R43" s="11">
        <v>1535</v>
      </c>
      <c r="S43" s="11">
        <v>45</v>
      </c>
      <c r="T43" s="13">
        <f>E43/Q43</f>
        <v>109.49367088607595</v>
      </c>
      <c r="U43" s="12">
        <f>Q43/O43</f>
        <v>0.30980392156862746</v>
      </c>
      <c r="V43" s="11">
        <f>SUM(V44:V46)</f>
        <v>183000</v>
      </c>
      <c r="W43" s="13">
        <f>V43/Q43</f>
        <v>115.82278481012658</v>
      </c>
      <c r="X43" s="13"/>
      <c r="Y43" s="25"/>
      <c r="Z43" s="25"/>
      <c r="AA43" s="25"/>
      <c r="AB43" s="25"/>
      <c r="AC43" s="25"/>
      <c r="AD43" s="25"/>
      <c r="AE43" s="25"/>
      <c r="AF43" s="25"/>
      <c r="AG43" s="25"/>
    </row>
    <row r="44" spans="1:33" ht="25" customHeight="1" x14ac:dyDescent="0.2">
      <c r="A44" s="4">
        <v>46033</v>
      </c>
      <c r="B44" s="28" t="s">
        <v>104</v>
      </c>
      <c r="C44" s="28" t="s">
        <v>105</v>
      </c>
      <c r="D44" s="28" t="s">
        <v>95</v>
      </c>
      <c r="E44" s="5">
        <v>60000</v>
      </c>
      <c r="F44" s="5"/>
      <c r="G44" s="5"/>
      <c r="H44" s="5"/>
      <c r="I44" s="5"/>
      <c r="J44" s="5"/>
      <c r="K44" s="5">
        <v>35000</v>
      </c>
      <c r="L44" s="5">
        <v>30000</v>
      </c>
      <c r="M44" s="5">
        <v>8000</v>
      </c>
      <c r="N44" s="6">
        <f>M44/L44</f>
        <v>0.26666666666666666</v>
      </c>
      <c r="O44" s="5">
        <v>2000</v>
      </c>
      <c r="P44" s="6">
        <f>O44/L44</f>
        <v>6.6666666666666666E-2</v>
      </c>
      <c r="Q44" s="5">
        <v>600</v>
      </c>
      <c r="R44" s="5">
        <v>580</v>
      </c>
      <c r="S44" s="5">
        <v>20</v>
      </c>
      <c r="T44" s="7">
        <f>E44/Q44</f>
        <v>100</v>
      </c>
      <c r="U44" s="6">
        <f>Q44/O44</f>
        <v>0.3</v>
      </c>
      <c r="V44" s="5">
        <v>65000</v>
      </c>
      <c r="W44" s="7">
        <f>V44/Q44</f>
        <v>108.33333333333333</v>
      </c>
      <c r="X44" s="7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ht="25" customHeight="1" x14ac:dyDescent="0.2">
      <c r="A45" s="4">
        <v>46032</v>
      </c>
      <c r="B45" s="28" t="s">
        <v>104</v>
      </c>
      <c r="C45" s="28" t="s">
        <v>105</v>
      </c>
      <c r="D45" s="28" t="s">
        <v>95</v>
      </c>
      <c r="E45" s="5">
        <v>58000</v>
      </c>
      <c r="F45" s="5"/>
      <c r="G45" s="5"/>
      <c r="H45" s="5"/>
      <c r="I45" s="5"/>
      <c r="J45" s="5"/>
      <c r="K45" s="5">
        <v>34000</v>
      </c>
      <c r="L45" s="5">
        <v>29000</v>
      </c>
      <c r="M45" s="5">
        <v>7200</v>
      </c>
      <c r="N45" s="6">
        <f>M45/L45</f>
        <v>0.24827586206896551</v>
      </c>
      <c r="O45" s="5">
        <v>1600</v>
      </c>
      <c r="P45" s="6">
        <f>O45/L45</f>
        <v>5.5172413793103448E-2</v>
      </c>
      <c r="Q45" s="5">
        <v>500</v>
      </c>
      <c r="R45" s="5">
        <v>490</v>
      </c>
      <c r="S45" s="5">
        <v>10</v>
      </c>
      <c r="T45" s="7">
        <f>E45/Q45</f>
        <v>116</v>
      </c>
      <c r="U45" s="6">
        <f>Q45/O45</f>
        <v>0.3125</v>
      </c>
      <c r="V45" s="5">
        <v>60000</v>
      </c>
      <c r="W45" s="7">
        <f>V45/Q45</f>
        <v>120</v>
      </c>
      <c r="X45" s="7"/>
      <c r="Y45" s="15"/>
      <c r="Z45" s="15"/>
      <c r="AA45" s="15"/>
      <c r="AB45" s="15"/>
      <c r="AC45" s="15"/>
      <c r="AD45" s="15"/>
      <c r="AE45" s="15"/>
      <c r="AF45" s="15"/>
      <c r="AG45" s="15"/>
    </row>
    <row r="46" spans="1:33" ht="25" customHeight="1" x14ac:dyDescent="0.2">
      <c r="A46" s="4">
        <v>46031</v>
      </c>
      <c r="B46" s="28" t="s">
        <v>104</v>
      </c>
      <c r="C46" s="28" t="s">
        <v>105</v>
      </c>
      <c r="D46" s="28" t="s">
        <v>95</v>
      </c>
      <c r="E46" s="5">
        <v>55000</v>
      </c>
      <c r="F46" s="5"/>
      <c r="G46" s="5"/>
      <c r="H46" s="5"/>
      <c r="I46" s="5"/>
      <c r="J46" s="5"/>
      <c r="K46" s="5">
        <v>33000</v>
      </c>
      <c r="L46" s="5">
        <v>28000</v>
      </c>
      <c r="M46" s="5">
        <v>7000</v>
      </c>
      <c r="N46" s="6">
        <f>M46/L46</f>
        <v>0.25</v>
      </c>
      <c r="O46" s="5">
        <v>1500</v>
      </c>
      <c r="P46" s="6">
        <f>O46/L46</f>
        <v>5.3571428571428568E-2</v>
      </c>
      <c r="Q46" s="5">
        <v>480</v>
      </c>
      <c r="R46" s="5">
        <v>465</v>
      </c>
      <c r="S46" s="5">
        <v>15</v>
      </c>
      <c r="T46" s="7">
        <f>E46/Q46</f>
        <v>114.58333333333333</v>
      </c>
      <c r="U46" s="6">
        <f>Q46/O46</f>
        <v>0.32</v>
      </c>
      <c r="V46" s="5">
        <v>58000</v>
      </c>
      <c r="W46" s="7">
        <f>V46/Q46</f>
        <v>120.83333333333333</v>
      </c>
      <c r="X46" s="7"/>
      <c r="Y46" s="15"/>
      <c r="Z46" s="15"/>
      <c r="AA46" s="15"/>
      <c r="AB46" s="15"/>
      <c r="AC46" s="15"/>
      <c r="AD46" s="15"/>
      <c r="AE46" s="15"/>
      <c r="AF46" s="15"/>
      <c r="AG46" s="15"/>
    </row>
  </sheetData>
  <mergeCells count="13">
    <mergeCell ref="AC41:AG41"/>
    <mergeCell ref="C1:E1"/>
    <mergeCell ref="A28:A37"/>
    <mergeCell ref="A41:A42"/>
    <mergeCell ref="B41:B42"/>
    <mergeCell ref="C41:C42"/>
    <mergeCell ref="D41:D42"/>
    <mergeCell ref="E41:J41"/>
    <mergeCell ref="A2:A6"/>
    <mergeCell ref="K41:X41"/>
    <mergeCell ref="A7:A13"/>
    <mergeCell ref="A14:A27"/>
    <mergeCell ref="Y41:AB41"/>
  </mergeCells>
  <phoneticPr fontId="3" type="noConversion"/>
  <pageMargins left="0.7" right="0.7" top="0.75" bottom="0.75" header="0.3" footer="0.3"/>
  <ignoredErrors>
    <ignoredError sqref="N43 P4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50CA-7313-E842-8A8B-AB7CE176C650}">
  <dimension ref="A1:W45"/>
  <sheetViews>
    <sheetView zoomScale="90" zoomScaleNormal="90" workbookViewId="0">
      <selection activeCell="C4" sqref="C4"/>
    </sheetView>
  </sheetViews>
  <sheetFormatPr baseColWidth="10" defaultColWidth="18.83203125" defaultRowHeight="25" customHeight="1" x14ac:dyDescent="0.2"/>
  <cols>
    <col min="1" max="1" width="23.83203125" style="26" customWidth="1"/>
    <col min="2" max="2" width="20.83203125" style="26" customWidth="1"/>
    <col min="3" max="4" width="18.83203125" style="26"/>
    <col min="5" max="5" width="26.83203125" style="26" bestFit="1" customWidth="1"/>
    <col min="6" max="6" width="18.83203125" style="26" customWidth="1"/>
    <col min="7" max="16384" width="18.83203125" style="26"/>
  </cols>
  <sheetData>
    <row r="1" spans="1:22" ht="25" customHeight="1" x14ac:dyDescent="0.2">
      <c r="A1" s="16" t="s">
        <v>27</v>
      </c>
      <c r="B1" s="16" t="s">
        <v>28</v>
      </c>
      <c r="C1" s="112" t="s">
        <v>29</v>
      </c>
      <c r="D1" s="112"/>
      <c r="E1" s="112"/>
    </row>
    <row r="2" spans="1:22" ht="25" customHeight="1" x14ac:dyDescent="0.2">
      <c r="A2" s="116" t="s">
        <v>96</v>
      </c>
      <c r="B2" s="15" t="s">
        <v>1</v>
      </c>
      <c r="C2" s="34" t="s">
        <v>72</v>
      </c>
      <c r="D2" s="34"/>
      <c r="E2" s="35"/>
    </row>
    <row r="3" spans="1:22" ht="25" customHeight="1" x14ac:dyDescent="0.2">
      <c r="A3" s="116"/>
      <c r="B3" s="15" t="s">
        <v>208</v>
      </c>
      <c r="C3" s="34" t="s">
        <v>271</v>
      </c>
      <c r="D3" s="34"/>
      <c r="E3" s="35"/>
    </row>
    <row r="4" spans="1:22" ht="25" customHeight="1" x14ac:dyDescent="0.2">
      <c r="A4" s="116"/>
      <c r="B4" s="15" t="s">
        <v>122</v>
      </c>
      <c r="C4" s="34" t="s">
        <v>142</v>
      </c>
      <c r="D4" s="34"/>
      <c r="E4" s="35"/>
    </row>
    <row r="5" spans="1:22" ht="25" customHeight="1" x14ac:dyDescent="0.2">
      <c r="A5" s="116"/>
      <c r="B5" s="15" t="s">
        <v>2</v>
      </c>
      <c r="C5" s="34" t="s">
        <v>107</v>
      </c>
      <c r="D5" s="34"/>
      <c r="E5" s="35"/>
    </row>
    <row r="6" spans="1:22" ht="25" customHeight="1" x14ac:dyDescent="0.2">
      <c r="A6" s="116"/>
      <c r="B6" s="15" t="s">
        <v>96</v>
      </c>
      <c r="C6" s="34" t="s">
        <v>106</v>
      </c>
      <c r="D6" s="34"/>
      <c r="E6" s="35"/>
    </row>
    <row r="7" spans="1:22" ht="25" customHeight="1" x14ac:dyDescent="0.2">
      <c r="A7" s="116"/>
      <c r="B7" s="15" t="s">
        <v>101</v>
      </c>
      <c r="C7" s="34" t="s">
        <v>123</v>
      </c>
      <c r="D7" s="34"/>
      <c r="E7" s="35"/>
    </row>
    <row r="8" spans="1:22" ht="25" customHeight="1" x14ac:dyDescent="0.2">
      <c r="A8" s="116"/>
      <c r="B8" s="15" t="s">
        <v>97</v>
      </c>
      <c r="C8" s="37" t="s">
        <v>99</v>
      </c>
      <c r="D8" s="38"/>
      <c r="E8" s="39"/>
    </row>
    <row r="10" spans="1:22" ht="25" customHeight="1" x14ac:dyDescent="0.2">
      <c r="A10" s="94" t="s">
        <v>124</v>
      </c>
    </row>
    <row r="11" spans="1:22" ht="25" customHeight="1" x14ac:dyDescent="0.2">
      <c r="A11" s="51" t="s">
        <v>1</v>
      </c>
      <c r="B11" s="51" t="s">
        <v>100</v>
      </c>
      <c r="C11" s="51" t="s">
        <v>26</v>
      </c>
      <c r="D11" s="51" t="s">
        <v>8</v>
      </c>
      <c r="E11" s="61" t="s">
        <v>2</v>
      </c>
      <c r="F11" s="51" t="s">
        <v>120</v>
      </c>
      <c r="G11" s="61" t="s">
        <v>79</v>
      </c>
      <c r="H11" s="61" t="s">
        <v>80</v>
      </c>
      <c r="I11" s="61" t="s">
        <v>81</v>
      </c>
      <c r="J11" s="61" t="s">
        <v>82</v>
      </c>
      <c r="K11" s="61" t="s">
        <v>83</v>
      </c>
      <c r="L11" s="61" t="s">
        <v>84</v>
      </c>
      <c r="M11" s="61" t="s">
        <v>85</v>
      </c>
      <c r="N11" s="61" t="s">
        <v>86</v>
      </c>
      <c r="O11" s="61" t="s">
        <v>87</v>
      </c>
      <c r="P11" s="61" t="s">
        <v>88</v>
      </c>
      <c r="Q11" s="61" t="s">
        <v>89</v>
      </c>
      <c r="R11" s="61" t="s">
        <v>90</v>
      </c>
      <c r="S11" s="61" t="s">
        <v>91</v>
      </c>
      <c r="T11" s="61" t="s">
        <v>92</v>
      </c>
      <c r="U11" s="61" t="s">
        <v>93</v>
      </c>
      <c r="V11" s="61" t="s">
        <v>94</v>
      </c>
    </row>
    <row r="12" spans="1:22" ht="25" customHeight="1" x14ac:dyDescent="0.2">
      <c r="A12" s="132" t="s">
        <v>7</v>
      </c>
      <c r="B12" s="117" t="s">
        <v>104</v>
      </c>
      <c r="C12" s="117" t="s">
        <v>105</v>
      </c>
      <c r="D12" s="117" t="s">
        <v>95</v>
      </c>
      <c r="E12" s="127">
        <v>1300000</v>
      </c>
      <c r="F12" s="118" t="s">
        <v>272</v>
      </c>
      <c r="G12" s="76">
        <v>8.3997859846153804E-3</v>
      </c>
      <c r="H12" s="77">
        <v>1.7276387192307695E-2</v>
      </c>
      <c r="I12" s="77">
        <v>0.11404514011058195</v>
      </c>
      <c r="J12" s="77">
        <v>0.24597363620328516</v>
      </c>
      <c r="K12" s="77">
        <v>0.72259770924610534</v>
      </c>
      <c r="L12" s="77">
        <v>1.1856096829787177</v>
      </c>
      <c r="M12" s="77">
        <v>1.4634168672182852</v>
      </c>
      <c r="N12" s="77">
        <v>1.7180734527712223</v>
      </c>
      <c r="O12" s="77">
        <v>1.9495794396375281</v>
      </c>
      <c r="P12" s="77">
        <v>2.1579348278172037</v>
      </c>
      <c r="Q12" s="77">
        <v>2.3431396173102486</v>
      </c>
      <c r="R12" s="77">
        <v>2.5051938081166631</v>
      </c>
      <c r="S12" s="77">
        <v>2.6440974002364466</v>
      </c>
      <c r="T12" s="77">
        <v>2.7598503936695993</v>
      </c>
      <c r="U12" s="77">
        <v>2.8524527884161226</v>
      </c>
      <c r="V12" s="77">
        <v>2.9357949436879922</v>
      </c>
    </row>
    <row r="13" spans="1:22" ht="25" customHeight="1" x14ac:dyDescent="0.2">
      <c r="A13" s="120"/>
      <c r="B13" s="122"/>
      <c r="C13" s="122"/>
      <c r="D13" s="122"/>
      <c r="E13" s="131"/>
      <c r="F13" s="118"/>
      <c r="G13" s="33" t="s">
        <v>97</v>
      </c>
      <c r="H13" s="76">
        <f t="shared" ref="H13:V13" si="0">(H12-G12)/G12</f>
        <v>1.0567651632970465</v>
      </c>
      <c r="I13" s="76">
        <f t="shared" si="0"/>
        <v>5.6012146429179648</v>
      </c>
      <c r="J13" s="76">
        <f t="shared" si="0"/>
        <v>1.1568094525096024</v>
      </c>
      <c r="K13" s="76">
        <f t="shared" si="0"/>
        <v>1.9377038954244419</v>
      </c>
      <c r="L13" s="76">
        <f t="shared" si="0"/>
        <v>0.64076036750196486</v>
      </c>
      <c r="M13" s="76">
        <f t="shared" si="0"/>
        <v>0.23431588677785309</v>
      </c>
      <c r="N13" s="76">
        <f t="shared" si="0"/>
        <v>0.17401506792592689</v>
      </c>
      <c r="O13" s="76">
        <f t="shared" si="0"/>
        <v>0.13474743265073491</v>
      </c>
      <c r="P13" s="76">
        <f t="shared" si="0"/>
        <v>0.10687196630387817</v>
      </c>
      <c r="Q13" s="76">
        <f t="shared" si="0"/>
        <v>8.5825015244034686E-2</v>
      </c>
      <c r="R13" s="76">
        <f t="shared" si="0"/>
        <v>6.9161133040992598E-2</v>
      </c>
      <c r="S13" s="76">
        <f t="shared" si="0"/>
        <v>5.5446245982943482E-2</v>
      </c>
      <c r="T13" s="76">
        <f t="shared" si="0"/>
        <v>4.377788557365609E-2</v>
      </c>
      <c r="U13" s="76">
        <f t="shared" si="0"/>
        <v>3.3553411068560045E-2</v>
      </c>
      <c r="V13" s="76">
        <f t="shared" si="0"/>
        <v>2.921771592866464E-2</v>
      </c>
    </row>
    <row r="14" spans="1:22" ht="25" customHeight="1" x14ac:dyDescent="0.2">
      <c r="A14" s="47">
        <v>46112</v>
      </c>
      <c r="B14" s="33" t="s">
        <v>104</v>
      </c>
      <c r="C14" s="33" t="s">
        <v>105</v>
      </c>
      <c r="D14" s="33" t="s">
        <v>95</v>
      </c>
      <c r="E14" s="59"/>
      <c r="F14" s="36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</row>
    <row r="15" spans="1:22" ht="25" customHeight="1" x14ac:dyDescent="0.2">
      <c r="A15" s="47">
        <v>46111</v>
      </c>
      <c r="B15" s="33" t="s">
        <v>104</v>
      </c>
      <c r="C15" s="33" t="s">
        <v>105</v>
      </c>
      <c r="D15" s="33" t="s">
        <v>95</v>
      </c>
      <c r="E15" s="59"/>
      <c r="F15" s="36"/>
      <c r="G15" s="33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</row>
    <row r="16" spans="1:22" ht="25" customHeight="1" x14ac:dyDescent="0.2">
      <c r="A16" s="47">
        <v>46110</v>
      </c>
      <c r="B16" s="33" t="s">
        <v>104</v>
      </c>
      <c r="C16" s="33" t="s">
        <v>105</v>
      </c>
      <c r="D16" s="33" t="s">
        <v>95</v>
      </c>
      <c r="E16" s="59"/>
      <c r="F16" s="36"/>
      <c r="G16" s="33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</row>
    <row r="17" spans="1:23" ht="25" customHeight="1" x14ac:dyDescent="0.2">
      <c r="A17" s="47">
        <v>46109</v>
      </c>
      <c r="B17" s="33" t="s">
        <v>104</v>
      </c>
      <c r="C17" s="33" t="s">
        <v>105</v>
      </c>
      <c r="D17" s="33" t="s">
        <v>95</v>
      </c>
      <c r="E17" s="59"/>
      <c r="F17" s="36"/>
      <c r="G17" s="33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</row>
    <row r="18" spans="1:23" ht="25" customHeight="1" x14ac:dyDescent="0.2">
      <c r="A18" s="47">
        <v>46108</v>
      </c>
      <c r="B18" s="33" t="s">
        <v>104</v>
      </c>
      <c r="C18" s="33" t="s">
        <v>105</v>
      </c>
      <c r="D18" s="33" t="s">
        <v>95</v>
      </c>
      <c r="E18" s="59"/>
      <c r="F18" s="33"/>
      <c r="G18" s="33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</row>
    <row r="19" spans="1:23" ht="25" customHeight="1" x14ac:dyDescent="0.2">
      <c r="G19" s="73"/>
      <c r="H19" s="31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</row>
    <row r="20" spans="1:23" ht="25" customHeight="1" x14ac:dyDescent="0.2">
      <c r="A20" s="31"/>
      <c r="B20" s="31"/>
      <c r="C20" s="31"/>
      <c r="D20" s="31"/>
      <c r="E20" s="32"/>
      <c r="F20" s="32"/>
    </row>
    <row r="21" spans="1:23" ht="25" customHeight="1" x14ac:dyDescent="0.2">
      <c r="A21" s="31"/>
      <c r="B21" s="31"/>
      <c r="C21" s="31"/>
      <c r="D21" s="31"/>
      <c r="E21" s="32"/>
      <c r="F21" s="32"/>
    </row>
    <row r="22" spans="1:23" ht="25" customHeight="1" x14ac:dyDescent="0.2">
      <c r="A22" s="23" t="s">
        <v>274</v>
      </c>
    </row>
    <row r="23" spans="1:23" ht="25" customHeight="1" x14ac:dyDescent="0.2">
      <c r="A23" s="27" t="s">
        <v>102</v>
      </c>
      <c r="B23" s="27" t="s">
        <v>100</v>
      </c>
      <c r="C23" s="27" t="s">
        <v>26</v>
      </c>
      <c r="D23" s="27" t="s">
        <v>8</v>
      </c>
      <c r="E23" s="27" t="s">
        <v>120</v>
      </c>
      <c r="F23" s="28" t="s">
        <v>79</v>
      </c>
      <c r="G23" s="28" t="s">
        <v>80</v>
      </c>
      <c r="H23" s="28" t="s">
        <v>81</v>
      </c>
      <c r="I23" s="28" t="s">
        <v>82</v>
      </c>
      <c r="J23" s="28" t="s">
        <v>83</v>
      </c>
      <c r="K23" s="28" t="s">
        <v>84</v>
      </c>
      <c r="L23" s="28" t="s">
        <v>85</v>
      </c>
      <c r="M23" s="28" t="s">
        <v>86</v>
      </c>
      <c r="N23" s="28" t="s">
        <v>87</v>
      </c>
      <c r="O23" s="28" t="s">
        <v>88</v>
      </c>
      <c r="P23" s="28" t="s">
        <v>89</v>
      </c>
      <c r="Q23" s="28" t="s">
        <v>90</v>
      </c>
      <c r="R23" s="28" t="s">
        <v>91</v>
      </c>
      <c r="S23" s="28" t="s">
        <v>92</v>
      </c>
      <c r="T23" s="28" t="s">
        <v>93</v>
      </c>
      <c r="U23" s="28" t="s">
        <v>94</v>
      </c>
    </row>
    <row r="24" spans="1:23" ht="25" customHeight="1" x14ac:dyDescent="0.2">
      <c r="A24" s="119" t="s">
        <v>7</v>
      </c>
      <c r="B24" s="121" t="s">
        <v>104</v>
      </c>
      <c r="C24" s="121" t="s">
        <v>105</v>
      </c>
      <c r="D24" s="123" t="s">
        <v>95</v>
      </c>
      <c r="E24" s="125" t="s">
        <v>121</v>
      </c>
      <c r="F24" s="5">
        <v>10919.72178</v>
      </c>
      <c r="G24" s="5">
        <v>22459.303350000002</v>
      </c>
      <c r="H24" s="5">
        <v>148258.68214375654</v>
      </c>
      <c r="I24" s="5">
        <v>319765.7270642707</v>
      </c>
      <c r="J24" s="5">
        <v>939377.02201993694</v>
      </c>
      <c r="K24" s="5">
        <v>1541292.5878723329</v>
      </c>
      <c r="L24" s="5">
        <v>1902441.9273837707</v>
      </c>
      <c r="M24" s="5">
        <v>2233495.4886025889</v>
      </c>
      <c r="N24" s="5">
        <v>2534453.2715287865</v>
      </c>
      <c r="O24" s="5">
        <v>2805315.276162365</v>
      </c>
      <c r="P24" s="5">
        <v>3046081.5025033234</v>
      </c>
      <c r="Q24" s="5">
        <v>3256751.9505516621</v>
      </c>
      <c r="R24" s="5">
        <v>3437326.6203073803</v>
      </c>
      <c r="S24" s="5">
        <v>3587805.5117704789</v>
      </c>
      <c r="T24" s="5">
        <v>3708188.6249409593</v>
      </c>
      <c r="U24" s="5">
        <v>3816533.4267943897</v>
      </c>
    </row>
    <row r="25" spans="1:23" ht="25" customHeight="1" x14ac:dyDescent="0.2">
      <c r="A25" s="120"/>
      <c r="B25" s="122"/>
      <c r="C25" s="122"/>
      <c r="D25" s="124"/>
      <c r="E25" s="126"/>
      <c r="F25" s="61" t="s">
        <v>97</v>
      </c>
      <c r="G25" s="82">
        <v>1.0567651632970452</v>
      </c>
      <c r="H25" s="82">
        <v>5.6012146429179657</v>
      </c>
      <c r="I25" s="82">
        <v>1.1568094525096022</v>
      </c>
      <c r="J25" s="82">
        <v>1.9377038954244421</v>
      </c>
      <c r="K25" s="82">
        <v>0.21298628147966925</v>
      </c>
      <c r="L25" s="82">
        <v>0.2343158867778532</v>
      </c>
      <c r="M25" s="82">
        <v>0.17401506792592691</v>
      </c>
      <c r="N25" s="82">
        <v>0.13474743265073497</v>
      </c>
      <c r="O25" s="82">
        <v>0.10687196630387819</v>
      </c>
      <c r="P25" s="82">
        <v>8.5825015244034741E-2</v>
      </c>
      <c r="Q25" s="82">
        <v>6.9161133040992473E-2</v>
      </c>
      <c r="R25" s="82">
        <v>5.5446245982943454E-2</v>
      </c>
      <c r="S25" s="82">
        <v>4.3777885573656139E-2</v>
      </c>
      <c r="T25" s="82">
        <v>3.3553411068560024E-2</v>
      </c>
      <c r="U25" s="82">
        <v>2.9217715928664623E-2</v>
      </c>
    </row>
    <row r="26" spans="1:23" ht="25" customHeight="1" x14ac:dyDescent="0.2">
      <c r="A26" s="47">
        <v>46112</v>
      </c>
      <c r="B26" s="33" t="s">
        <v>104</v>
      </c>
      <c r="C26" s="33" t="s">
        <v>105</v>
      </c>
      <c r="D26" s="33" t="s">
        <v>95</v>
      </c>
      <c r="E26" s="50" t="s">
        <v>121</v>
      </c>
      <c r="F26" s="3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</row>
    <row r="27" spans="1:23" ht="25" customHeight="1" x14ac:dyDescent="0.2">
      <c r="A27" s="47">
        <v>46111</v>
      </c>
      <c r="B27" s="33" t="s">
        <v>104</v>
      </c>
      <c r="C27" s="33" t="s">
        <v>105</v>
      </c>
      <c r="D27" s="33" t="s">
        <v>95</v>
      </c>
      <c r="E27" s="50" t="s">
        <v>121</v>
      </c>
      <c r="F27" s="3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</row>
    <row r="28" spans="1:23" ht="25" customHeight="1" x14ac:dyDescent="0.2">
      <c r="A28" s="47">
        <v>46110</v>
      </c>
      <c r="B28" s="33" t="s">
        <v>104</v>
      </c>
      <c r="C28" s="33" t="s">
        <v>105</v>
      </c>
      <c r="D28" s="33" t="s">
        <v>95</v>
      </c>
      <c r="E28" s="50" t="s">
        <v>121</v>
      </c>
      <c r="F28" s="3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</row>
    <row r="29" spans="1:23" ht="25" customHeight="1" x14ac:dyDescent="0.2">
      <c r="E29" s="73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</row>
    <row r="30" spans="1:23" ht="25" customHeight="1" x14ac:dyDescent="0.2">
      <c r="E30" s="73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</row>
    <row r="31" spans="1:23" ht="25" customHeight="1" x14ac:dyDescent="0.2">
      <c r="A31" s="94" t="s">
        <v>273</v>
      </c>
    </row>
    <row r="32" spans="1:23" ht="25" customHeight="1" x14ac:dyDescent="0.2">
      <c r="A32" s="27" t="s">
        <v>102</v>
      </c>
      <c r="B32" s="27" t="s">
        <v>100</v>
      </c>
      <c r="C32" s="49" t="s">
        <v>26</v>
      </c>
      <c r="D32" s="46" t="s">
        <v>8</v>
      </c>
      <c r="E32" s="33" t="s">
        <v>2</v>
      </c>
      <c r="F32" s="46" t="s">
        <v>120</v>
      </c>
      <c r="G32" s="84" t="s">
        <v>79</v>
      </c>
      <c r="H32" s="28" t="s">
        <v>80</v>
      </c>
      <c r="I32" s="28" t="s">
        <v>81</v>
      </c>
      <c r="J32" s="28" t="s">
        <v>82</v>
      </c>
      <c r="K32" s="28" t="s">
        <v>83</v>
      </c>
      <c r="L32" s="28" t="s">
        <v>84</v>
      </c>
      <c r="M32" s="28" t="s">
        <v>85</v>
      </c>
      <c r="N32" s="28" t="s">
        <v>86</v>
      </c>
      <c r="O32" s="28" t="s">
        <v>87</v>
      </c>
      <c r="P32" s="28" t="s">
        <v>88</v>
      </c>
      <c r="Q32" s="28" t="s">
        <v>89</v>
      </c>
      <c r="R32" s="28" t="s">
        <v>90</v>
      </c>
      <c r="S32" s="28" t="s">
        <v>91</v>
      </c>
      <c r="T32" s="28" t="s">
        <v>92</v>
      </c>
      <c r="U32" s="28" t="s">
        <v>93</v>
      </c>
      <c r="V32" s="28" t="s">
        <v>94</v>
      </c>
    </row>
    <row r="33" spans="1:22" ht="25" customHeight="1" x14ac:dyDescent="0.2">
      <c r="A33" s="119" t="s">
        <v>7</v>
      </c>
      <c r="B33" s="121" t="s">
        <v>104</v>
      </c>
      <c r="C33" s="129" t="s">
        <v>105</v>
      </c>
      <c r="D33" s="116" t="s">
        <v>95</v>
      </c>
      <c r="E33" s="127">
        <v>1300000</v>
      </c>
      <c r="F33" s="116" t="s">
        <v>208</v>
      </c>
      <c r="G33" s="85">
        <f t="shared" ref="G33:V33" si="1">F41/$E$33</f>
        <v>7.0769230769230772E-4</v>
      </c>
      <c r="H33" s="40">
        <f t="shared" si="1"/>
        <v>1.8915384615384616E-3</v>
      </c>
      <c r="I33" s="40">
        <f t="shared" si="1"/>
        <v>3.712206318750539E-2</v>
      </c>
      <c r="J33" s="40">
        <f t="shared" si="1"/>
        <v>9.2127482357131543E-2</v>
      </c>
      <c r="K33" s="40">
        <f t="shared" si="1"/>
        <v>0.26105924770764383</v>
      </c>
      <c r="L33" s="40">
        <f t="shared" si="1"/>
        <v>0.49330199067102304</v>
      </c>
      <c r="M33" s="40">
        <f t="shared" si="1"/>
        <v>0.6941860979875154</v>
      </c>
      <c r="N33" s="40">
        <f t="shared" si="1"/>
        <v>0.94884268354045387</v>
      </c>
      <c r="O33" s="40">
        <f t="shared" si="1"/>
        <v>1.1803486704067616</v>
      </c>
      <c r="P33" s="40">
        <f t="shared" si="1"/>
        <v>1.3887040585864308</v>
      </c>
      <c r="Q33" s="40">
        <f t="shared" si="1"/>
        <v>1.573908848079477</v>
      </c>
      <c r="R33" s="40">
        <f t="shared" si="1"/>
        <v>1.7359630388858922</v>
      </c>
      <c r="S33" s="40">
        <f t="shared" si="1"/>
        <v>1.8748666310056767</v>
      </c>
      <c r="T33" s="40">
        <f t="shared" si="1"/>
        <v>1.9906196244388306</v>
      </c>
      <c r="U33" s="40">
        <f t="shared" si="1"/>
        <v>2.0832220191853539</v>
      </c>
      <c r="V33" s="40">
        <f t="shared" si="1"/>
        <v>2.166564174457223</v>
      </c>
    </row>
    <row r="34" spans="1:22" ht="25" customHeight="1" x14ac:dyDescent="0.2">
      <c r="A34" s="120"/>
      <c r="B34" s="122"/>
      <c r="C34" s="130"/>
      <c r="D34" s="116"/>
      <c r="E34" s="128"/>
      <c r="F34" s="117"/>
      <c r="G34" s="83" t="s">
        <v>97</v>
      </c>
      <c r="H34" s="82">
        <f t="shared" ref="H34:V34" si="2">(H33-G33)/G33</f>
        <v>1.6728260869565217</v>
      </c>
      <c r="I34" s="82">
        <f t="shared" si="2"/>
        <v>18.625328240649456</v>
      </c>
      <c r="J34" s="82">
        <f t="shared" si="2"/>
        <v>1.4817446673637464</v>
      </c>
      <c r="K34" s="82">
        <f t="shared" si="2"/>
        <v>1.8336739594776885</v>
      </c>
      <c r="L34" s="82">
        <f t="shared" si="2"/>
        <v>0.88961699308757769</v>
      </c>
      <c r="M34" s="82">
        <f t="shared" si="2"/>
        <v>0.40722338671943342</v>
      </c>
      <c r="N34" s="82">
        <f t="shared" si="2"/>
        <v>0.36684195533618758</v>
      </c>
      <c r="O34" s="82">
        <f t="shared" si="2"/>
        <v>0.24398774515758545</v>
      </c>
      <c r="P34" s="82">
        <f t="shared" si="2"/>
        <v>0.17652020407484129</v>
      </c>
      <c r="Q34" s="82">
        <f t="shared" si="2"/>
        <v>0.13336519638429453</v>
      </c>
      <c r="R34" s="82">
        <f t="shared" si="2"/>
        <v>0.10296288187473998</v>
      </c>
      <c r="S34" s="82">
        <f t="shared" si="2"/>
        <v>8.001529353351336E-2</v>
      </c>
      <c r="T34" s="82">
        <f t="shared" si="2"/>
        <v>6.173932135698848E-2</v>
      </c>
      <c r="U34" s="82">
        <f t="shared" si="2"/>
        <v>4.6519382010326848E-2</v>
      </c>
      <c r="V34" s="82">
        <f t="shared" si="2"/>
        <v>4.0006372102604888E-2</v>
      </c>
    </row>
    <row r="35" spans="1:22" ht="25" customHeight="1" x14ac:dyDescent="0.2">
      <c r="A35" s="47">
        <v>46112</v>
      </c>
      <c r="B35" s="33" t="s">
        <v>104</v>
      </c>
      <c r="C35" s="33" t="s">
        <v>105</v>
      </c>
      <c r="D35" s="33" t="s">
        <v>95</v>
      </c>
      <c r="E35" s="78"/>
      <c r="F35" s="33"/>
      <c r="G35" s="33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</row>
    <row r="36" spans="1:22" ht="25" customHeight="1" x14ac:dyDescent="0.2">
      <c r="A36" s="47">
        <v>46111</v>
      </c>
      <c r="B36" s="33" t="s">
        <v>104</v>
      </c>
      <c r="C36" s="33" t="s">
        <v>105</v>
      </c>
      <c r="D36" s="33" t="s">
        <v>95</v>
      </c>
      <c r="E36" s="78"/>
      <c r="F36" s="33"/>
      <c r="G36" s="33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</row>
    <row r="37" spans="1:22" ht="25" customHeight="1" x14ac:dyDescent="0.2">
      <c r="A37" s="47">
        <v>46110</v>
      </c>
      <c r="B37" s="33" t="s">
        <v>104</v>
      </c>
      <c r="C37" s="33" t="s">
        <v>105</v>
      </c>
      <c r="D37" s="33" t="s">
        <v>95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9" spans="1:22" ht="25" customHeight="1" x14ac:dyDescent="0.2">
      <c r="A39" s="23" t="s">
        <v>275</v>
      </c>
    </row>
    <row r="40" spans="1:22" ht="25" customHeight="1" x14ac:dyDescent="0.2">
      <c r="A40" s="27" t="s">
        <v>1</v>
      </c>
      <c r="B40" s="27" t="s">
        <v>100</v>
      </c>
      <c r="C40" s="27" t="s">
        <v>26</v>
      </c>
      <c r="D40" s="27" t="s">
        <v>8</v>
      </c>
      <c r="E40" s="27" t="s">
        <v>120</v>
      </c>
      <c r="F40" s="28" t="s">
        <v>79</v>
      </c>
      <c r="G40" s="28" t="s">
        <v>80</v>
      </c>
      <c r="H40" s="28" t="s">
        <v>81</v>
      </c>
      <c r="I40" s="28" t="s">
        <v>82</v>
      </c>
      <c r="J40" s="28" t="s">
        <v>83</v>
      </c>
      <c r="K40" s="28" t="s">
        <v>84</v>
      </c>
      <c r="L40" s="28" t="s">
        <v>85</v>
      </c>
      <c r="M40" s="28" t="s">
        <v>86</v>
      </c>
      <c r="N40" s="28" t="s">
        <v>87</v>
      </c>
      <c r="O40" s="28" t="s">
        <v>88</v>
      </c>
      <c r="P40" s="28" t="s">
        <v>89</v>
      </c>
      <c r="Q40" s="28" t="s">
        <v>90</v>
      </c>
      <c r="R40" s="28" t="s">
        <v>91</v>
      </c>
      <c r="S40" s="28" t="s">
        <v>92</v>
      </c>
      <c r="T40" s="28" t="s">
        <v>93</v>
      </c>
      <c r="U40" s="28" t="s">
        <v>94</v>
      </c>
    </row>
    <row r="41" spans="1:22" ht="25" customHeight="1" x14ac:dyDescent="0.2">
      <c r="A41" s="119" t="s">
        <v>7</v>
      </c>
      <c r="B41" s="121" t="s">
        <v>104</v>
      </c>
      <c r="C41" s="129" t="s">
        <v>105</v>
      </c>
      <c r="D41" s="116" t="s">
        <v>95</v>
      </c>
      <c r="E41" s="125" t="s">
        <v>208</v>
      </c>
      <c r="F41" s="5">
        <v>920</v>
      </c>
      <c r="G41" s="5">
        <v>2459</v>
      </c>
      <c r="H41" s="5">
        <v>48258.682143757003</v>
      </c>
      <c r="I41" s="5">
        <v>119765.72706427101</v>
      </c>
      <c r="J41" s="5">
        <v>339377.02201993699</v>
      </c>
      <c r="K41" s="5">
        <v>641292.58787232998</v>
      </c>
      <c r="L41" s="5">
        <v>902441.92738377</v>
      </c>
      <c r="M41" s="5">
        <v>1233495.48860259</v>
      </c>
      <c r="N41" s="5">
        <v>1534453.27152879</v>
      </c>
      <c r="O41" s="5">
        <v>1805315.2761623601</v>
      </c>
      <c r="P41" s="5">
        <v>2046081.5025033201</v>
      </c>
      <c r="Q41" s="5">
        <v>2256751.9505516598</v>
      </c>
      <c r="R41" s="5">
        <v>2437326.6203073799</v>
      </c>
      <c r="S41" s="5">
        <v>2587805.5117704798</v>
      </c>
      <c r="T41" s="5">
        <v>2708188.6249409602</v>
      </c>
      <c r="U41" s="5">
        <v>2816533.4267943902</v>
      </c>
    </row>
    <row r="42" spans="1:22" ht="25" customHeight="1" x14ac:dyDescent="0.2">
      <c r="A42" s="120"/>
      <c r="B42" s="122"/>
      <c r="C42" s="130"/>
      <c r="D42" s="116"/>
      <c r="E42" s="126"/>
      <c r="F42" s="28" t="s">
        <v>97</v>
      </c>
      <c r="G42" s="40">
        <f>(G41-F41)/F41</f>
        <v>1.6728260869565217</v>
      </c>
      <c r="H42" s="40">
        <f t="shared" ref="H42:U42" si="3">(H41-G41)/G41</f>
        <v>18.625328240649452</v>
      </c>
      <c r="I42" s="40">
        <f t="shared" si="3"/>
        <v>1.4817446673637467</v>
      </c>
      <c r="J42" s="40">
        <f t="shared" si="3"/>
        <v>1.8336739594776887</v>
      </c>
      <c r="K42" s="40">
        <f t="shared" si="3"/>
        <v>0.88961699308757769</v>
      </c>
      <c r="L42" s="40">
        <f t="shared" si="3"/>
        <v>0.40722338671943337</v>
      </c>
      <c r="M42" s="40">
        <f t="shared" si="3"/>
        <v>0.36684195533618763</v>
      </c>
      <c r="N42" s="40">
        <f t="shared" si="3"/>
        <v>0.24398774515758534</v>
      </c>
      <c r="O42" s="40">
        <f t="shared" si="3"/>
        <v>0.17652020407484142</v>
      </c>
      <c r="P42" s="40">
        <f t="shared" si="3"/>
        <v>0.1333651963842945</v>
      </c>
      <c r="Q42" s="40">
        <f t="shared" si="3"/>
        <v>0.10296288187473991</v>
      </c>
      <c r="R42" s="40">
        <f t="shared" si="3"/>
        <v>8.0015293533513443E-2</v>
      </c>
      <c r="S42" s="40">
        <f t="shared" si="3"/>
        <v>6.1739321356988487E-2</v>
      </c>
      <c r="T42" s="40">
        <f t="shared" si="3"/>
        <v>4.6519382010326862E-2</v>
      </c>
      <c r="U42" s="40">
        <f t="shared" si="3"/>
        <v>4.0006372102604916E-2</v>
      </c>
    </row>
    <row r="43" spans="1:22" ht="25" customHeight="1" x14ac:dyDescent="0.2">
      <c r="A43" s="47">
        <v>46112</v>
      </c>
      <c r="B43" s="33" t="s">
        <v>104</v>
      </c>
      <c r="C43" s="33" t="s">
        <v>105</v>
      </c>
      <c r="D43" s="33" t="s">
        <v>95</v>
      </c>
      <c r="E43" s="78"/>
      <c r="F43" s="33"/>
      <c r="G43" s="33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</row>
    <row r="44" spans="1:22" ht="25" customHeight="1" x14ac:dyDescent="0.2">
      <c r="A44" s="47">
        <v>46111</v>
      </c>
      <c r="B44" s="33" t="s">
        <v>104</v>
      </c>
      <c r="C44" s="33" t="s">
        <v>105</v>
      </c>
      <c r="D44" s="33" t="s">
        <v>95</v>
      </c>
      <c r="E44" s="78"/>
      <c r="F44" s="33"/>
      <c r="G44" s="33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</row>
    <row r="45" spans="1:22" ht="25" customHeight="1" x14ac:dyDescent="0.2">
      <c r="A45" s="47">
        <v>46110</v>
      </c>
      <c r="B45" s="33" t="s">
        <v>104</v>
      </c>
      <c r="C45" s="33" t="s">
        <v>105</v>
      </c>
      <c r="D45" s="33" t="s">
        <v>95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mergeCells count="24">
    <mergeCell ref="B12:B13"/>
    <mergeCell ref="C12:C13"/>
    <mergeCell ref="D12:D13"/>
    <mergeCell ref="E41:E42"/>
    <mergeCell ref="A41:A42"/>
    <mergeCell ref="B41:B42"/>
    <mergeCell ref="C41:C42"/>
    <mergeCell ref="D41:D42"/>
    <mergeCell ref="F33:F34"/>
    <mergeCell ref="C1:E1"/>
    <mergeCell ref="A2:A8"/>
    <mergeCell ref="F12:F13"/>
    <mergeCell ref="A24:A25"/>
    <mergeCell ref="B24:B25"/>
    <mergeCell ref="C24:C25"/>
    <mergeCell ref="D24:D25"/>
    <mergeCell ref="E24:E25"/>
    <mergeCell ref="E33:E34"/>
    <mergeCell ref="A33:A34"/>
    <mergeCell ref="B33:B34"/>
    <mergeCell ref="C33:C34"/>
    <mergeCell ref="D33:D34"/>
    <mergeCell ref="E12:E13"/>
    <mergeCell ref="A12:A1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CCB3-75EE-2E48-8502-F50F073A1902}">
  <dimension ref="A1:X30"/>
  <sheetViews>
    <sheetView workbookViewId="0">
      <selection activeCell="H17" sqref="H17"/>
    </sheetView>
  </sheetViews>
  <sheetFormatPr baseColWidth="10" defaultRowHeight="25" customHeight="1" x14ac:dyDescent="0.2"/>
  <cols>
    <col min="1" max="1" width="10.1640625" style="26" bestFit="1" customWidth="1"/>
    <col min="2" max="2" width="16.33203125" style="26" bestFit="1" customWidth="1"/>
    <col min="3" max="3" width="18.6640625" style="26" bestFit="1" customWidth="1"/>
    <col min="4" max="4" width="13.6640625" style="26" customWidth="1"/>
    <col min="5" max="7" width="14.6640625" style="26" customWidth="1"/>
    <col min="8" max="8" width="14.1640625" style="26" bestFit="1" customWidth="1"/>
    <col min="9" max="9" width="12" style="26" bestFit="1" customWidth="1"/>
    <col min="10" max="10" width="14.83203125" style="26" bestFit="1" customWidth="1"/>
    <col min="11" max="11" width="12.83203125" style="31" customWidth="1"/>
    <col min="12" max="16" width="12.83203125" style="26" customWidth="1"/>
    <col min="17" max="16384" width="10.83203125" style="26"/>
  </cols>
  <sheetData>
    <row r="1" spans="1:5" ht="25" customHeight="1" x14ac:dyDescent="0.2">
      <c r="A1" s="16" t="s">
        <v>27</v>
      </c>
      <c r="B1" s="16" t="s">
        <v>28</v>
      </c>
      <c r="C1" s="112" t="s">
        <v>29</v>
      </c>
      <c r="D1" s="112"/>
      <c r="E1" s="112"/>
    </row>
    <row r="2" spans="1:5" ht="25" customHeight="1" x14ac:dyDescent="0.2">
      <c r="A2" s="137" t="s">
        <v>128</v>
      </c>
      <c r="B2" s="15" t="s">
        <v>1</v>
      </c>
      <c r="C2" s="34" t="s">
        <v>217</v>
      </c>
      <c r="D2" s="44"/>
      <c r="E2" s="45"/>
    </row>
    <row r="3" spans="1:5" ht="25" customHeight="1" x14ac:dyDescent="0.2">
      <c r="A3" s="137"/>
      <c r="B3" s="36" t="s">
        <v>136</v>
      </c>
      <c r="C3" s="43" t="s">
        <v>137</v>
      </c>
      <c r="D3" s="44"/>
      <c r="E3" s="45"/>
    </row>
    <row r="4" spans="1:5" ht="25" customHeight="1" x14ac:dyDescent="0.2">
      <c r="A4" s="137"/>
      <c r="B4" s="36" t="s">
        <v>97</v>
      </c>
      <c r="C4" s="43" t="s">
        <v>99</v>
      </c>
      <c r="D4" s="44"/>
      <c r="E4" s="45"/>
    </row>
    <row r="5" spans="1:5" ht="25" customHeight="1" x14ac:dyDescent="0.2">
      <c r="A5" s="137"/>
      <c r="B5" s="36" t="s">
        <v>11</v>
      </c>
      <c r="C5" s="43" t="s">
        <v>129</v>
      </c>
      <c r="D5" s="44"/>
      <c r="E5" s="45"/>
    </row>
    <row r="6" spans="1:5" ht="25" customHeight="1" x14ac:dyDescent="0.2">
      <c r="A6" s="137"/>
      <c r="B6" s="36" t="s">
        <v>13</v>
      </c>
      <c r="C6" s="43" t="s">
        <v>54</v>
      </c>
      <c r="D6" s="44"/>
      <c r="E6" s="45"/>
    </row>
    <row r="7" spans="1:5" ht="25" customHeight="1" x14ac:dyDescent="0.2">
      <c r="A7" s="137"/>
      <c r="B7" s="36" t="s">
        <v>16</v>
      </c>
      <c r="C7" s="43" t="s">
        <v>58</v>
      </c>
      <c r="D7" s="44"/>
      <c r="E7" s="45"/>
    </row>
    <row r="8" spans="1:5" ht="25" customHeight="1" x14ac:dyDescent="0.2">
      <c r="A8" s="137"/>
      <c r="B8" s="36" t="s">
        <v>60</v>
      </c>
      <c r="C8" s="43" t="s">
        <v>194</v>
      </c>
      <c r="D8" s="44"/>
      <c r="E8" s="45"/>
    </row>
    <row r="9" spans="1:5" ht="25" customHeight="1" x14ac:dyDescent="0.2">
      <c r="A9" s="137"/>
      <c r="B9" s="36" t="s">
        <v>110</v>
      </c>
      <c r="C9" s="43" t="s">
        <v>211</v>
      </c>
      <c r="D9" s="44"/>
      <c r="E9" s="45"/>
    </row>
    <row r="10" spans="1:5" ht="25" customHeight="1" x14ac:dyDescent="0.2">
      <c r="A10" s="137"/>
      <c r="B10" s="36" t="s">
        <v>111</v>
      </c>
      <c r="C10" s="43" t="s">
        <v>131</v>
      </c>
      <c r="D10" s="44"/>
      <c r="E10" s="45"/>
    </row>
    <row r="11" spans="1:5" ht="25" customHeight="1" x14ac:dyDescent="0.2">
      <c r="A11" s="137"/>
      <c r="B11" s="36" t="s">
        <v>212</v>
      </c>
      <c r="C11" s="43" t="s">
        <v>213</v>
      </c>
      <c r="D11" s="44"/>
      <c r="E11" s="45"/>
    </row>
    <row r="12" spans="1:5" ht="25" customHeight="1" x14ac:dyDescent="0.2">
      <c r="A12" s="137"/>
      <c r="B12" s="36" t="s">
        <v>113</v>
      </c>
      <c r="C12" s="43" t="s">
        <v>132</v>
      </c>
      <c r="D12" s="44"/>
      <c r="E12" s="45"/>
    </row>
    <row r="13" spans="1:5" ht="25" customHeight="1" x14ac:dyDescent="0.2">
      <c r="A13" s="137"/>
      <c r="B13" s="36" t="s">
        <v>125</v>
      </c>
      <c r="C13" s="43" t="s">
        <v>214</v>
      </c>
      <c r="D13" s="44"/>
      <c r="E13" s="45"/>
    </row>
    <row r="14" spans="1:5" ht="25" customHeight="1" x14ac:dyDescent="0.2">
      <c r="A14" s="137"/>
      <c r="B14" s="36" t="s">
        <v>115</v>
      </c>
      <c r="C14" s="43" t="s">
        <v>133</v>
      </c>
      <c r="D14" s="44"/>
      <c r="E14" s="45"/>
    </row>
    <row r="15" spans="1:5" ht="25" customHeight="1" x14ac:dyDescent="0.2">
      <c r="A15" s="137"/>
      <c r="B15" s="36" t="s">
        <v>126</v>
      </c>
      <c r="C15" s="43" t="s">
        <v>215</v>
      </c>
      <c r="D15" s="44"/>
      <c r="E15" s="45"/>
    </row>
    <row r="16" spans="1:5" ht="25" customHeight="1" x14ac:dyDescent="0.2">
      <c r="A16" s="137"/>
      <c r="B16" s="36" t="s">
        <v>117</v>
      </c>
      <c r="C16" s="43" t="s">
        <v>134</v>
      </c>
      <c r="D16" s="44"/>
      <c r="E16" s="45"/>
    </row>
    <row r="17" spans="1:24" ht="25" customHeight="1" x14ac:dyDescent="0.2">
      <c r="A17" s="137"/>
      <c r="B17" s="36" t="s">
        <v>127</v>
      </c>
      <c r="C17" s="43" t="s">
        <v>216</v>
      </c>
      <c r="D17" s="44"/>
      <c r="E17" s="45"/>
    </row>
    <row r="18" spans="1:24" ht="25" customHeight="1" x14ac:dyDescent="0.2">
      <c r="A18" s="138"/>
      <c r="B18" s="36" t="s">
        <v>119</v>
      </c>
      <c r="C18" s="43" t="s">
        <v>135</v>
      </c>
      <c r="D18" s="44"/>
      <c r="E18" s="45"/>
    </row>
    <row r="21" spans="1:24" ht="25" customHeight="1" x14ac:dyDescent="0.2">
      <c r="A21" s="51" t="s">
        <v>1</v>
      </c>
      <c r="B21" s="51" t="s">
        <v>100</v>
      </c>
      <c r="C21" s="51" t="s">
        <v>26</v>
      </c>
      <c r="D21" s="52" t="s">
        <v>8</v>
      </c>
      <c r="E21" s="53" t="s">
        <v>11</v>
      </c>
      <c r="F21" s="53" t="s">
        <v>120</v>
      </c>
      <c r="G21" s="90" t="s">
        <v>12</v>
      </c>
      <c r="H21" s="91" t="s">
        <v>16</v>
      </c>
      <c r="I21" s="91" t="s">
        <v>130</v>
      </c>
      <c r="J21" s="90" t="s">
        <v>110</v>
      </c>
      <c r="K21" s="91" t="s">
        <v>111</v>
      </c>
      <c r="L21" s="91" t="s">
        <v>130</v>
      </c>
      <c r="M21" s="90" t="s">
        <v>112</v>
      </c>
      <c r="N21" s="91" t="s">
        <v>113</v>
      </c>
      <c r="O21" s="91" t="s">
        <v>130</v>
      </c>
      <c r="P21" s="91" t="s">
        <v>114</v>
      </c>
      <c r="Q21" s="91" t="s">
        <v>115</v>
      </c>
      <c r="R21" s="91" t="s">
        <v>130</v>
      </c>
      <c r="S21" s="91" t="s">
        <v>116</v>
      </c>
      <c r="T21" s="91" t="s">
        <v>117</v>
      </c>
      <c r="U21" s="91" t="s">
        <v>130</v>
      </c>
      <c r="V21" s="91" t="s">
        <v>118</v>
      </c>
      <c r="W21" s="91" t="s">
        <v>119</v>
      </c>
      <c r="X21" s="91" t="s">
        <v>130</v>
      </c>
    </row>
    <row r="22" spans="1:24" ht="25" customHeight="1" x14ac:dyDescent="0.2">
      <c r="A22" s="140" t="s">
        <v>7</v>
      </c>
      <c r="B22" s="117" t="s">
        <v>104</v>
      </c>
      <c r="C22" s="117" t="s">
        <v>105</v>
      </c>
      <c r="D22" s="117" t="s">
        <v>95</v>
      </c>
      <c r="E22" s="134">
        <f>SUM(E25:E30)</f>
        <v>1960</v>
      </c>
      <c r="F22" s="14" t="s">
        <v>121</v>
      </c>
      <c r="G22" s="14">
        <v>300</v>
      </c>
      <c r="H22" s="95">
        <v>0.25</v>
      </c>
      <c r="I22" s="14">
        <v>1.01</v>
      </c>
      <c r="J22" s="14">
        <v>200</v>
      </c>
      <c r="K22" s="95">
        <v>0.16666666666666666</v>
      </c>
      <c r="L22" s="14">
        <v>1.1299999999999999</v>
      </c>
      <c r="M22" s="14">
        <v>150</v>
      </c>
      <c r="N22" s="95">
        <v>0.125</v>
      </c>
      <c r="O22" s="14">
        <v>1.24</v>
      </c>
      <c r="P22" s="14">
        <v>120</v>
      </c>
      <c r="Q22" s="95">
        <v>0.1</v>
      </c>
      <c r="R22" s="14">
        <v>1.36</v>
      </c>
      <c r="S22" s="14">
        <v>100</v>
      </c>
      <c r="T22" s="95">
        <v>8.3333333333333329E-2</v>
      </c>
      <c r="U22" s="14">
        <v>1.5</v>
      </c>
      <c r="V22" s="14">
        <v>80</v>
      </c>
      <c r="W22" s="95">
        <v>6.6666666666666666E-2</v>
      </c>
      <c r="X22" s="14">
        <v>1.78</v>
      </c>
    </row>
    <row r="23" spans="1:24" ht="25" customHeight="1" x14ac:dyDescent="0.2">
      <c r="A23" s="141"/>
      <c r="B23" s="133"/>
      <c r="C23" s="133"/>
      <c r="D23" s="133"/>
      <c r="E23" s="135"/>
      <c r="F23" s="14" t="s">
        <v>208</v>
      </c>
      <c r="G23" s="96">
        <v>3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</row>
    <row r="24" spans="1:24" ht="25" customHeight="1" x14ac:dyDescent="0.2">
      <c r="A24" s="142"/>
      <c r="B24" s="122"/>
      <c r="C24" s="122"/>
      <c r="D24" s="122"/>
      <c r="E24" s="136"/>
      <c r="F24" s="33" t="s">
        <v>209</v>
      </c>
      <c r="G24" s="96">
        <v>295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</row>
    <row r="25" spans="1:24" ht="25" customHeight="1" x14ac:dyDescent="0.2">
      <c r="A25" s="139">
        <v>46082</v>
      </c>
      <c r="B25" s="107" t="s">
        <v>104</v>
      </c>
      <c r="C25" s="107" t="s">
        <v>105</v>
      </c>
      <c r="D25" s="107" t="s">
        <v>95</v>
      </c>
      <c r="E25" s="107">
        <v>1034</v>
      </c>
      <c r="F25" s="14" t="s">
        <v>121</v>
      </c>
      <c r="G25" s="96"/>
      <c r="H25" s="96"/>
      <c r="I25" s="96"/>
      <c r="J25" s="96"/>
      <c r="K25" s="96"/>
      <c r="L25" s="88"/>
      <c r="M25" s="98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25" customHeight="1" x14ac:dyDescent="0.2">
      <c r="A26" s="139"/>
      <c r="B26" s="107"/>
      <c r="C26" s="107"/>
      <c r="D26" s="107"/>
      <c r="E26" s="107"/>
      <c r="F26" s="14" t="s">
        <v>208</v>
      </c>
      <c r="G26" s="96"/>
      <c r="H26" s="96"/>
      <c r="I26" s="96"/>
      <c r="J26" s="96"/>
      <c r="K26" s="96"/>
      <c r="L26" s="88"/>
      <c r="M26" s="98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ht="25" customHeight="1" x14ac:dyDescent="0.2">
      <c r="A27" s="139"/>
      <c r="B27" s="107"/>
      <c r="C27" s="107"/>
      <c r="D27" s="107"/>
      <c r="E27" s="107"/>
      <c r="F27" s="33" t="s">
        <v>209</v>
      </c>
      <c r="G27" s="96"/>
      <c r="H27" s="96"/>
      <c r="I27" s="96"/>
      <c r="J27" s="96"/>
      <c r="K27" s="96"/>
      <c r="L27" s="88"/>
      <c r="M27" s="98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25" customHeight="1" x14ac:dyDescent="0.2">
      <c r="A28" s="139">
        <v>46083</v>
      </c>
      <c r="B28" s="107" t="s">
        <v>104</v>
      </c>
      <c r="C28" s="107" t="s">
        <v>105</v>
      </c>
      <c r="D28" s="107" t="s">
        <v>95</v>
      </c>
      <c r="E28" s="107">
        <v>926</v>
      </c>
      <c r="F28" s="14" t="s">
        <v>121</v>
      </c>
      <c r="G28" s="15"/>
      <c r="H28" s="15"/>
      <c r="I28" s="15"/>
      <c r="J28" s="14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ht="25" customHeight="1" x14ac:dyDescent="0.2">
      <c r="A29" s="139"/>
      <c r="B29" s="107"/>
      <c r="C29" s="107"/>
      <c r="D29" s="107"/>
      <c r="E29" s="107"/>
      <c r="F29" s="14" t="s">
        <v>208</v>
      </c>
      <c r="G29" s="15"/>
      <c r="H29" s="15"/>
      <c r="I29" s="15"/>
      <c r="J29" s="14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ht="25" customHeight="1" x14ac:dyDescent="0.2">
      <c r="A30" s="139"/>
      <c r="B30" s="107"/>
      <c r="C30" s="107"/>
      <c r="D30" s="107"/>
      <c r="E30" s="107"/>
      <c r="F30" s="33" t="s">
        <v>209</v>
      </c>
      <c r="G30" s="15"/>
      <c r="H30" s="15"/>
      <c r="I30" s="15"/>
      <c r="J30" s="1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</sheetData>
  <mergeCells count="17">
    <mergeCell ref="A28:A30"/>
    <mergeCell ref="B28:B30"/>
    <mergeCell ref="C28:C30"/>
    <mergeCell ref="D28:D30"/>
    <mergeCell ref="E28:E30"/>
    <mergeCell ref="D22:D24"/>
    <mergeCell ref="E22:E24"/>
    <mergeCell ref="C1:E1"/>
    <mergeCell ref="A2:A18"/>
    <mergeCell ref="E25:E27"/>
    <mergeCell ref="A25:A27"/>
    <mergeCell ref="B25:B27"/>
    <mergeCell ref="C25:C27"/>
    <mergeCell ref="D25:D27"/>
    <mergeCell ref="A22:A24"/>
    <mergeCell ref="B22:B24"/>
    <mergeCell ref="C22:C2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9D5C-5434-3C42-AF5A-AAE563AC711A}">
  <dimension ref="A1:Z34"/>
  <sheetViews>
    <sheetView tabSelected="1" workbookViewId="0">
      <selection activeCell="C12" sqref="C12"/>
    </sheetView>
  </sheetViews>
  <sheetFormatPr baseColWidth="10" defaultColWidth="15.83203125" defaultRowHeight="25" customHeight="1" x14ac:dyDescent="0.2"/>
  <cols>
    <col min="1" max="7" width="15.83203125" style="1"/>
    <col min="8" max="8" width="21.33203125" style="1" bestFit="1" customWidth="1"/>
    <col min="9" max="16384" width="15.83203125" style="1"/>
  </cols>
  <sheetData>
    <row r="1" spans="1:26" ht="25" customHeight="1" x14ac:dyDescent="0.2">
      <c r="A1" s="16" t="s">
        <v>27</v>
      </c>
      <c r="B1" s="16" t="s">
        <v>28</v>
      </c>
      <c r="C1" s="112" t="s">
        <v>29</v>
      </c>
      <c r="D1" s="112"/>
      <c r="E1" s="112"/>
      <c r="G1" s="57"/>
      <c r="K1" s="1" t="s">
        <v>121</v>
      </c>
      <c r="M1" s="1" t="s">
        <v>199</v>
      </c>
    </row>
    <row r="2" spans="1:26" s="2" customFormat="1" ht="25" customHeight="1" x14ac:dyDescent="0.2">
      <c r="A2" s="118" t="s">
        <v>138</v>
      </c>
      <c r="B2" s="18" t="s">
        <v>1</v>
      </c>
      <c r="C2" s="34" t="s">
        <v>265</v>
      </c>
      <c r="D2" s="22"/>
      <c r="E2" s="22"/>
    </row>
    <row r="3" spans="1:26" ht="25" customHeight="1" x14ac:dyDescent="0.2">
      <c r="A3" s="118"/>
      <c r="B3" s="89" t="s">
        <v>200</v>
      </c>
      <c r="C3" s="43" t="s">
        <v>268</v>
      </c>
      <c r="D3" s="44"/>
      <c r="E3" s="45"/>
    </row>
    <row r="4" spans="1:26" ht="25" customHeight="1" x14ac:dyDescent="0.2">
      <c r="A4" s="118"/>
      <c r="B4" s="55" t="s">
        <v>120</v>
      </c>
      <c r="C4" s="43" t="s">
        <v>236</v>
      </c>
      <c r="D4" s="44"/>
      <c r="E4" s="45"/>
    </row>
    <row r="5" spans="1:26" ht="25" customHeight="1" x14ac:dyDescent="0.2">
      <c r="A5" s="118"/>
      <c r="B5" s="55" t="s">
        <v>140</v>
      </c>
      <c r="C5" s="43" t="s">
        <v>143</v>
      </c>
      <c r="D5" s="44"/>
      <c r="E5" s="45"/>
    </row>
    <row r="6" spans="1:26" ht="25" customHeight="1" x14ac:dyDescent="0.2">
      <c r="A6" s="118"/>
      <c r="B6" s="55" t="s">
        <v>5</v>
      </c>
      <c r="C6" s="43" t="s">
        <v>43</v>
      </c>
      <c r="D6" s="44"/>
      <c r="E6" s="45"/>
    </row>
    <row r="7" spans="1:26" ht="25" customHeight="1" x14ac:dyDescent="0.2">
      <c r="A7" s="118"/>
      <c r="B7" s="55" t="s">
        <v>6</v>
      </c>
      <c r="C7" s="43" t="s">
        <v>144</v>
      </c>
      <c r="D7" s="44"/>
      <c r="E7" s="45"/>
    </row>
    <row r="8" spans="1:26" ht="25" customHeight="1" x14ac:dyDescent="0.2">
      <c r="A8" s="118"/>
      <c r="B8" s="55" t="s">
        <v>22</v>
      </c>
      <c r="C8" s="43" t="s">
        <v>145</v>
      </c>
      <c r="D8" s="44"/>
      <c r="E8" s="45"/>
    </row>
    <row r="9" spans="1:26" ht="25" customHeight="1" x14ac:dyDescent="0.2">
      <c r="A9" s="118"/>
      <c r="B9" s="55" t="s">
        <v>139</v>
      </c>
      <c r="C9" s="43" t="s">
        <v>290</v>
      </c>
      <c r="D9" s="44"/>
      <c r="E9" s="45"/>
    </row>
    <row r="10" spans="1:26" ht="25" customHeight="1" x14ac:dyDescent="0.2">
      <c r="A10" s="118"/>
      <c r="B10" s="92" t="s">
        <v>24</v>
      </c>
      <c r="C10" s="93" t="s">
        <v>146</v>
      </c>
      <c r="D10" s="44"/>
      <c r="E10" s="45"/>
    </row>
    <row r="11" spans="1:26" ht="25" customHeight="1" x14ac:dyDescent="0.2">
      <c r="A11" s="118"/>
      <c r="B11" s="56" t="s">
        <v>73</v>
      </c>
      <c r="C11" s="43" t="s">
        <v>147</v>
      </c>
      <c r="D11" s="44"/>
      <c r="E11" s="45"/>
    </row>
    <row r="12" spans="1:26" ht="35" customHeight="1" x14ac:dyDescent="0.2">
      <c r="A12" s="118"/>
      <c r="B12" s="56" t="s">
        <v>288</v>
      </c>
      <c r="C12" s="146" t="s">
        <v>289</v>
      </c>
      <c r="D12" s="144"/>
      <c r="E12" s="145"/>
    </row>
    <row r="14" spans="1:26" ht="25" customHeight="1" x14ac:dyDescent="0.2">
      <c r="A14" s="23" t="s">
        <v>266</v>
      </c>
      <c r="Z14" s="1" t="s">
        <v>269</v>
      </c>
    </row>
    <row r="15" spans="1:26" ht="25" customHeight="1" x14ac:dyDescent="0.2">
      <c r="A15" s="46" t="s">
        <v>1</v>
      </c>
      <c r="B15" s="46" t="s">
        <v>100</v>
      </c>
      <c r="C15" s="46" t="s">
        <v>26</v>
      </c>
      <c r="D15" s="46" t="s">
        <v>8</v>
      </c>
      <c r="E15" s="46" t="s">
        <v>200</v>
      </c>
      <c r="F15" s="46" t="s">
        <v>120</v>
      </c>
      <c r="G15" s="46" t="s">
        <v>207</v>
      </c>
      <c r="H15" s="46" t="s">
        <v>218</v>
      </c>
      <c r="I15" s="46" t="s">
        <v>219</v>
      </c>
      <c r="J15" s="46" t="s">
        <v>220</v>
      </c>
      <c r="K15" s="46" t="s">
        <v>221</v>
      </c>
      <c r="L15" s="46" t="s">
        <v>222</v>
      </c>
      <c r="M15" s="46" t="s">
        <v>223</v>
      </c>
      <c r="N15" s="46" t="s">
        <v>224</v>
      </c>
      <c r="O15" s="46" t="s">
        <v>225</v>
      </c>
      <c r="P15" s="46" t="s">
        <v>226</v>
      </c>
      <c r="Q15" s="46" t="s">
        <v>227</v>
      </c>
      <c r="R15" s="46" t="s">
        <v>228</v>
      </c>
      <c r="S15" s="46" t="s">
        <v>229</v>
      </c>
      <c r="T15" s="46" t="s">
        <v>230</v>
      </c>
      <c r="U15" s="46" t="s">
        <v>231</v>
      </c>
      <c r="V15" s="46" t="s">
        <v>232</v>
      </c>
      <c r="W15" s="46" t="s">
        <v>237</v>
      </c>
      <c r="X15" s="46" t="s">
        <v>238</v>
      </c>
      <c r="Y15" s="46" t="s">
        <v>239</v>
      </c>
      <c r="Z15" s="46" t="s">
        <v>159</v>
      </c>
    </row>
    <row r="16" spans="1:26" ht="37" customHeight="1" x14ac:dyDescent="0.2">
      <c r="A16" s="14" t="s">
        <v>7</v>
      </c>
      <c r="B16" s="24" t="s">
        <v>104</v>
      </c>
      <c r="C16" s="24" t="s">
        <v>105</v>
      </c>
      <c r="D16" s="24" t="s">
        <v>95</v>
      </c>
      <c r="E16" s="24" t="s">
        <v>199</v>
      </c>
      <c r="F16" s="19" t="s">
        <v>240</v>
      </c>
      <c r="G16" s="42">
        <v>1034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39" customHeight="1" x14ac:dyDescent="0.2">
      <c r="A17" s="47">
        <v>46099</v>
      </c>
      <c r="B17" s="24" t="s">
        <v>104</v>
      </c>
      <c r="C17" s="24" t="s">
        <v>105</v>
      </c>
      <c r="D17" s="24" t="s">
        <v>95</v>
      </c>
      <c r="E17" s="24" t="s">
        <v>199</v>
      </c>
      <c r="F17" s="19" t="s">
        <v>240</v>
      </c>
      <c r="G17" s="42">
        <v>300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5" customHeight="1" x14ac:dyDescent="0.2">
      <c r="A18" s="101">
        <v>46098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5" customHeight="1" x14ac:dyDescent="0.2">
      <c r="A19" s="100">
        <v>46099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1" spans="1:26" ht="25" customHeight="1" x14ac:dyDescent="0.2">
      <c r="A21" s="23" t="s">
        <v>267</v>
      </c>
      <c r="Z21" s="1" t="s">
        <v>269</v>
      </c>
    </row>
    <row r="22" spans="1:26" ht="25" customHeight="1" x14ac:dyDescent="0.2">
      <c r="A22" s="46" t="s">
        <v>1</v>
      </c>
      <c r="B22" s="46" t="s">
        <v>100</v>
      </c>
      <c r="C22" s="46" t="s">
        <v>26</v>
      </c>
      <c r="D22" s="46" t="s">
        <v>8</v>
      </c>
      <c r="E22" s="46" t="s">
        <v>200</v>
      </c>
      <c r="F22" s="46" t="s">
        <v>120</v>
      </c>
      <c r="G22" s="46" t="s">
        <v>207</v>
      </c>
      <c r="H22" s="46" t="s">
        <v>241</v>
      </c>
      <c r="I22" s="46" t="s">
        <v>242</v>
      </c>
      <c r="J22" s="46" t="s">
        <v>243</v>
      </c>
      <c r="K22" s="46" t="s">
        <v>244</v>
      </c>
      <c r="L22" s="46" t="s">
        <v>245</v>
      </c>
      <c r="M22" s="46" t="s">
        <v>246</v>
      </c>
      <c r="N22" s="46" t="s">
        <v>247</v>
      </c>
      <c r="O22" s="46" t="s">
        <v>248</v>
      </c>
      <c r="P22" s="46" t="s">
        <v>249</v>
      </c>
      <c r="Q22" s="46" t="s">
        <v>250</v>
      </c>
      <c r="R22" s="46" t="s">
        <v>251</v>
      </c>
      <c r="S22" s="46" t="s">
        <v>252</v>
      </c>
      <c r="T22" s="46" t="s">
        <v>253</v>
      </c>
      <c r="U22" s="46" t="s">
        <v>254</v>
      </c>
      <c r="V22" s="46" t="s">
        <v>255</v>
      </c>
      <c r="W22" s="46" t="s">
        <v>256</v>
      </c>
      <c r="X22" s="46" t="s">
        <v>257</v>
      </c>
      <c r="Y22" s="46" t="s">
        <v>258</v>
      </c>
      <c r="Z22" s="46" t="s">
        <v>159</v>
      </c>
    </row>
    <row r="23" spans="1:26" ht="40" x14ac:dyDescent="0.2">
      <c r="A23" s="14" t="s">
        <v>7</v>
      </c>
      <c r="B23" s="24" t="s">
        <v>104</v>
      </c>
      <c r="C23" s="24" t="s">
        <v>105</v>
      </c>
      <c r="D23" s="24" t="s">
        <v>95</v>
      </c>
      <c r="E23" s="24" t="s">
        <v>199</v>
      </c>
      <c r="F23" s="19" t="s">
        <v>240</v>
      </c>
      <c r="G23" s="42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40" x14ac:dyDescent="0.2">
      <c r="A24" s="99">
        <v>46099</v>
      </c>
      <c r="B24" s="17"/>
      <c r="C24" s="17"/>
      <c r="D24" s="17"/>
      <c r="E24" s="17"/>
      <c r="F24" s="19" t="s">
        <v>240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5" customHeight="1" x14ac:dyDescent="0.2">
      <c r="A25" s="100">
        <v>46098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5" customHeight="1" x14ac:dyDescent="0.2">
      <c r="A26" s="100">
        <v>46099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9" spans="1:26" ht="25" customHeight="1" x14ac:dyDescent="0.2">
      <c r="A29" s="23" t="s">
        <v>270</v>
      </c>
    </row>
    <row r="30" spans="1:26" ht="25" customHeight="1" x14ac:dyDescent="0.2">
      <c r="A30" s="51" t="s">
        <v>102</v>
      </c>
      <c r="B30" s="51" t="s">
        <v>103</v>
      </c>
      <c r="C30" s="51" t="s">
        <v>100</v>
      </c>
      <c r="D30" s="51" t="s">
        <v>26</v>
      </c>
      <c r="E30" s="52" t="s">
        <v>8</v>
      </c>
      <c r="F30" s="46" t="s">
        <v>200</v>
      </c>
      <c r="G30" s="53" t="s">
        <v>207</v>
      </c>
      <c r="H30" s="53" t="s">
        <v>120</v>
      </c>
      <c r="I30" s="53" t="s">
        <v>259</v>
      </c>
      <c r="J30" s="53" t="s">
        <v>5</v>
      </c>
      <c r="K30" s="53" t="s">
        <v>6</v>
      </c>
      <c r="L30" s="53" t="s">
        <v>22</v>
      </c>
      <c r="M30" s="53" t="s">
        <v>139</v>
      </c>
      <c r="N30" s="53" t="s">
        <v>24</v>
      </c>
      <c r="O30" s="53" t="s">
        <v>73</v>
      </c>
    </row>
    <row r="31" spans="1:26" ht="25" customHeight="1" x14ac:dyDescent="0.2">
      <c r="A31" s="143">
        <v>46082</v>
      </c>
      <c r="B31" s="143">
        <v>46088</v>
      </c>
      <c r="C31" s="108" t="s">
        <v>104</v>
      </c>
      <c r="D31" s="108" t="s">
        <v>105</v>
      </c>
      <c r="E31" s="108" t="s">
        <v>95</v>
      </c>
      <c r="F31" s="108" t="s">
        <v>210</v>
      </c>
      <c r="G31" s="108">
        <v>1034</v>
      </c>
      <c r="H31" s="14" t="s">
        <v>121</v>
      </c>
      <c r="I31" s="14">
        <v>1034</v>
      </c>
      <c r="J31" s="59">
        <v>23798.05</v>
      </c>
      <c r="K31" s="59">
        <v>7863.66</v>
      </c>
      <c r="L31" s="59">
        <v>192504.79</v>
      </c>
      <c r="M31" s="59">
        <v>7137.47</v>
      </c>
      <c r="N31" s="48">
        <f>M31/L31</f>
        <v>3.7076843646332125E-2</v>
      </c>
      <c r="O31" s="60">
        <f>L31/J31</f>
        <v>8.0890993169608443</v>
      </c>
    </row>
    <row r="32" spans="1:26" ht="25" customHeight="1" x14ac:dyDescent="0.2">
      <c r="A32" s="109"/>
      <c r="B32" s="109"/>
      <c r="C32" s="109"/>
      <c r="D32" s="109"/>
      <c r="E32" s="109"/>
      <c r="F32" s="109"/>
      <c r="G32" s="109"/>
      <c r="H32" s="14" t="s">
        <v>208</v>
      </c>
      <c r="I32" s="14">
        <v>3</v>
      </c>
      <c r="J32" s="59">
        <v>13798.05</v>
      </c>
      <c r="K32" s="59">
        <v>2863.66</v>
      </c>
      <c r="L32" s="59">
        <v>122504.79</v>
      </c>
      <c r="M32" s="59">
        <v>2137.4699999999998</v>
      </c>
      <c r="N32" s="48">
        <f>M32/L32</f>
        <v>1.7448052439418899E-2</v>
      </c>
      <c r="O32" s="60">
        <f>L32/J32</f>
        <v>8.8784132540467677</v>
      </c>
    </row>
    <row r="33" spans="1:15" ht="25" customHeight="1" x14ac:dyDescent="0.2">
      <c r="A33" s="109"/>
      <c r="B33" s="109"/>
      <c r="C33" s="109"/>
      <c r="D33" s="109"/>
      <c r="E33" s="109"/>
      <c r="F33" s="109"/>
      <c r="G33" s="109"/>
      <c r="H33" s="33" t="s">
        <v>287</v>
      </c>
      <c r="I33" s="33"/>
      <c r="J33" s="59" t="s">
        <v>159</v>
      </c>
      <c r="K33" s="59"/>
      <c r="L33" s="59"/>
      <c r="M33" s="59"/>
      <c r="N33" s="48"/>
      <c r="O33" s="60"/>
    </row>
    <row r="34" spans="1:15" ht="25" customHeight="1" x14ac:dyDescent="0.2">
      <c r="A34" s="110"/>
      <c r="B34" s="110"/>
      <c r="C34" s="110"/>
      <c r="D34" s="110"/>
      <c r="E34" s="110"/>
      <c r="F34" s="110"/>
      <c r="G34" s="110"/>
      <c r="H34" s="33" t="s">
        <v>206</v>
      </c>
      <c r="I34" s="33"/>
      <c r="J34" s="17"/>
      <c r="K34" s="17"/>
      <c r="L34" s="17"/>
      <c r="M34" s="17"/>
      <c r="N34" s="17"/>
      <c r="O34" s="17"/>
    </row>
  </sheetData>
  <mergeCells count="9">
    <mergeCell ref="G31:G34"/>
    <mergeCell ref="C31:C34"/>
    <mergeCell ref="D31:D34"/>
    <mergeCell ref="C1:E1"/>
    <mergeCell ref="A2:A12"/>
    <mergeCell ref="E31:E34"/>
    <mergeCell ref="A31:A34"/>
    <mergeCell ref="B31:B34"/>
    <mergeCell ref="F31:F34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ED32-646E-8649-81BB-6F1F0126784D}">
  <dimension ref="A1:S32"/>
  <sheetViews>
    <sheetView workbookViewId="0">
      <selection activeCell="D8" sqref="D8"/>
    </sheetView>
  </sheetViews>
  <sheetFormatPr baseColWidth="10" defaultColWidth="15.83203125" defaultRowHeight="25" customHeight="1" x14ac:dyDescent="0.2"/>
  <cols>
    <col min="1" max="16384" width="15.83203125" style="1"/>
  </cols>
  <sheetData>
    <row r="1" spans="1:19" ht="25" customHeight="1" x14ac:dyDescent="0.2">
      <c r="A1" s="16" t="s">
        <v>27</v>
      </c>
      <c r="B1" s="16" t="s">
        <v>28</v>
      </c>
      <c r="C1" s="112" t="s">
        <v>29</v>
      </c>
      <c r="D1" s="112"/>
      <c r="E1" s="112"/>
      <c r="G1" s="57"/>
    </row>
    <row r="2" spans="1:19" s="2" customFormat="1" ht="25" customHeight="1" x14ac:dyDescent="0.2">
      <c r="A2" s="118" t="s">
        <v>138</v>
      </c>
      <c r="B2" s="14" t="s">
        <v>1</v>
      </c>
      <c r="C2" s="34" t="s">
        <v>98</v>
      </c>
      <c r="D2" s="22"/>
      <c r="E2" s="22"/>
    </row>
    <row r="3" spans="1:19" ht="25" customHeight="1" x14ac:dyDescent="0.2">
      <c r="A3" s="118"/>
      <c r="B3" s="54" t="s">
        <v>7</v>
      </c>
      <c r="C3" s="43" t="s">
        <v>141</v>
      </c>
      <c r="D3" s="44"/>
      <c r="E3" s="45"/>
    </row>
    <row r="4" spans="1:19" ht="25" customHeight="1" x14ac:dyDescent="0.2">
      <c r="A4" s="118"/>
      <c r="B4" s="55" t="s">
        <v>120</v>
      </c>
      <c r="C4" s="43" t="s">
        <v>198</v>
      </c>
      <c r="D4" s="44"/>
      <c r="E4" s="45"/>
    </row>
    <row r="5" spans="1:19" ht="25" customHeight="1" x14ac:dyDescent="0.2">
      <c r="A5" s="118"/>
      <c r="B5" s="55" t="s">
        <v>162</v>
      </c>
      <c r="C5" s="44" t="s">
        <v>164</v>
      </c>
      <c r="D5" s="44"/>
      <c r="E5" s="45"/>
    </row>
    <row r="6" spans="1:19" ht="25" customHeight="1" x14ac:dyDescent="0.2">
      <c r="A6" s="118"/>
      <c r="B6" s="55" t="s">
        <v>195</v>
      </c>
      <c r="C6" s="44" t="s">
        <v>196</v>
      </c>
      <c r="D6" s="44"/>
      <c r="E6" s="45"/>
    </row>
    <row r="7" spans="1:19" ht="25" customHeight="1" x14ac:dyDescent="0.2">
      <c r="A7" s="118"/>
      <c r="B7" s="55" t="s">
        <v>188</v>
      </c>
      <c r="C7" s="44" t="s">
        <v>197</v>
      </c>
      <c r="D7" s="44"/>
      <c r="E7" s="45"/>
    </row>
    <row r="8" spans="1:19" ht="25" customHeight="1" x14ac:dyDescent="0.2">
      <c r="A8" s="118"/>
      <c r="B8" s="14" t="s">
        <v>139</v>
      </c>
      <c r="C8" s="21" t="s">
        <v>165</v>
      </c>
      <c r="D8" s="44"/>
      <c r="E8" s="45"/>
    </row>
    <row r="9" spans="1:19" ht="25" customHeight="1" x14ac:dyDescent="0.2">
      <c r="A9" s="118"/>
      <c r="B9" s="14" t="s">
        <v>24</v>
      </c>
      <c r="C9" s="66" t="s">
        <v>166</v>
      </c>
      <c r="D9" s="44"/>
      <c r="E9" s="45"/>
    </row>
    <row r="10" spans="1:19" ht="25" customHeight="1" x14ac:dyDescent="0.2">
      <c r="A10" s="118"/>
      <c r="B10" s="14" t="s">
        <v>163</v>
      </c>
      <c r="C10" s="43" t="s">
        <v>167</v>
      </c>
      <c r="D10" s="44"/>
      <c r="E10" s="45"/>
    </row>
    <row r="13" spans="1:19" ht="25" customHeight="1" x14ac:dyDescent="0.2">
      <c r="A13" s="23" t="s">
        <v>276</v>
      </c>
      <c r="B13" s="26"/>
      <c r="C13" s="26"/>
      <c r="D13" s="26"/>
    </row>
    <row r="14" spans="1:19" ht="25" customHeight="1" x14ac:dyDescent="0.2">
      <c r="A14" s="51" t="s">
        <v>102</v>
      </c>
      <c r="B14" s="51" t="s">
        <v>103</v>
      </c>
      <c r="C14" s="51" t="s">
        <v>100</v>
      </c>
      <c r="D14" s="51" t="s">
        <v>26</v>
      </c>
      <c r="E14" s="52" t="s">
        <v>8</v>
      </c>
      <c r="F14" s="64" t="s">
        <v>120</v>
      </c>
      <c r="G14" s="46" t="s">
        <v>161</v>
      </c>
      <c r="H14" s="65" t="s">
        <v>158</v>
      </c>
      <c r="I14" s="58" t="s">
        <v>148</v>
      </c>
      <c r="J14" s="58" t="s">
        <v>149</v>
      </c>
      <c r="K14" s="58" t="s">
        <v>160</v>
      </c>
      <c r="L14" s="58" t="s">
        <v>150</v>
      </c>
      <c r="M14" s="58" t="s">
        <v>151</v>
      </c>
      <c r="N14" s="58" t="s">
        <v>152</v>
      </c>
      <c r="O14" s="58" t="s">
        <v>153</v>
      </c>
      <c r="P14" s="58" t="s">
        <v>154</v>
      </c>
      <c r="Q14" s="58" t="s">
        <v>155</v>
      </c>
      <c r="R14" s="58" t="s">
        <v>156</v>
      </c>
      <c r="S14" s="58" t="s">
        <v>157</v>
      </c>
    </row>
    <row r="15" spans="1:19" ht="25" customHeight="1" x14ac:dyDescent="0.2">
      <c r="A15" s="139">
        <v>46082</v>
      </c>
      <c r="B15" s="139">
        <v>46112</v>
      </c>
      <c r="C15" s="107" t="s">
        <v>104</v>
      </c>
      <c r="D15" s="107" t="s">
        <v>105</v>
      </c>
      <c r="E15" s="107" t="s">
        <v>95</v>
      </c>
      <c r="F15" s="107" t="s">
        <v>210</v>
      </c>
      <c r="G15" s="14" t="s">
        <v>162</v>
      </c>
      <c r="H15" s="62">
        <f>SUM(I15:S15)</f>
        <v>251586.69</v>
      </c>
      <c r="I15" s="62">
        <v>4255.38</v>
      </c>
      <c r="J15" s="63">
        <v>8161.72</v>
      </c>
      <c r="K15" s="63">
        <v>0</v>
      </c>
      <c r="L15" s="63">
        <v>73310.03</v>
      </c>
      <c r="M15" s="33">
        <v>200.86</v>
      </c>
      <c r="N15" s="63">
        <v>40676.11</v>
      </c>
      <c r="O15" s="63">
        <v>4703.55</v>
      </c>
      <c r="P15" s="63">
        <v>115391.25</v>
      </c>
      <c r="Q15" s="63">
        <v>2823.42</v>
      </c>
      <c r="R15" s="63">
        <v>2063.84</v>
      </c>
      <c r="S15" s="33">
        <v>0.53</v>
      </c>
    </row>
    <row r="16" spans="1:19" ht="25" customHeight="1" x14ac:dyDescent="0.2">
      <c r="A16" s="139"/>
      <c r="B16" s="139"/>
      <c r="C16" s="107"/>
      <c r="D16" s="107"/>
      <c r="E16" s="107"/>
      <c r="F16" s="107"/>
      <c r="G16" s="14" t="s">
        <v>195</v>
      </c>
      <c r="H16" s="62">
        <f>SUM(I16:S16)</f>
        <v>406628</v>
      </c>
      <c r="I16" s="62">
        <v>1687</v>
      </c>
      <c r="J16" s="63">
        <v>21354</v>
      </c>
      <c r="K16" s="63">
        <v>0</v>
      </c>
      <c r="L16" s="63">
        <v>281726</v>
      </c>
      <c r="M16" s="33">
        <v>647</v>
      </c>
      <c r="N16" s="63">
        <v>23109</v>
      </c>
      <c r="O16" s="63">
        <v>762</v>
      </c>
      <c r="P16" s="63">
        <v>72635</v>
      </c>
      <c r="Q16" s="63">
        <v>3827</v>
      </c>
      <c r="R16" s="63">
        <v>876</v>
      </c>
      <c r="S16" s="33">
        <v>5</v>
      </c>
    </row>
    <row r="17" spans="1:19" ht="25" customHeight="1" x14ac:dyDescent="0.2">
      <c r="A17" s="139"/>
      <c r="B17" s="139"/>
      <c r="C17" s="107"/>
      <c r="D17" s="107"/>
      <c r="E17" s="107"/>
      <c r="F17" s="107"/>
      <c r="G17" s="14" t="s">
        <v>188</v>
      </c>
      <c r="H17" s="62">
        <f>H15/H16</f>
        <v>0.61871462368553076</v>
      </c>
      <c r="I17" s="62">
        <f>I15/I16</f>
        <v>2.5224540604623593</v>
      </c>
      <c r="J17" s="62">
        <f>J15/J16</f>
        <v>0.38221035871499487</v>
      </c>
      <c r="K17" s="62">
        <v>0</v>
      </c>
      <c r="L17" s="62">
        <f>L15/L16</f>
        <v>0.26021748081469226</v>
      </c>
      <c r="M17" s="62">
        <f>M15/M16</f>
        <v>0.31044822256568783</v>
      </c>
      <c r="N17" s="62">
        <f>N15/N16</f>
        <v>1.7601847764940066</v>
      </c>
      <c r="O17" s="62">
        <f>O15/O16</f>
        <v>6.1726377952755911</v>
      </c>
      <c r="P17" s="62">
        <f>P15/P16</f>
        <v>1.5886452812005232</v>
      </c>
      <c r="Q17" s="62">
        <f t="shared" ref="Q17:S17" si="0">Q15/Q16</f>
        <v>0.73776326103997913</v>
      </c>
      <c r="R17" s="62">
        <f t="shared" si="0"/>
        <v>2.3559817351598173</v>
      </c>
      <c r="S17" s="62">
        <f t="shared" si="0"/>
        <v>0.10600000000000001</v>
      </c>
    </row>
    <row r="18" spans="1:19" ht="25" customHeight="1" x14ac:dyDescent="0.2">
      <c r="A18" s="139"/>
      <c r="B18" s="139"/>
      <c r="C18" s="107"/>
      <c r="D18" s="107"/>
      <c r="E18" s="107"/>
      <c r="F18" s="107"/>
      <c r="G18" s="14" t="s">
        <v>139</v>
      </c>
      <c r="H18" s="79">
        <f>SUM(I18:S18)</f>
        <v>6681.86</v>
      </c>
      <c r="I18" s="75">
        <v>178.19</v>
      </c>
      <c r="J18" s="80">
        <v>214.89</v>
      </c>
      <c r="K18" s="86">
        <v>0</v>
      </c>
      <c r="L18" s="87">
        <v>2983.37</v>
      </c>
      <c r="M18" s="75">
        <v>6.42</v>
      </c>
      <c r="N18" s="81">
        <v>2205.3200000000002</v>
      </c>
      <c r="O18" s="75">
        <v>604.84</v>
      </c>
      <c r="P18" s="75">
        <v>355.36</v>
      </c>
      <c r="Q18" s="75">
        <v>19.66</v>
      </c>
      <c r="R18" s="75">
        <v>113.28</v>
      </c>
      <c r="S18" s="75">
        <v>0.53</v>
      </c>
    </row>
    <row r="19" spans="1:19" ht="25" customHeight="1" x14ac:dyDescent="0.2">
      <c r="A19" s="139"/>
      <c r="B19" s="139"/>
      <c r="C19" s="107"/>
      <c r="D19" s="107"/>
      <c r="E19" s="107"/>
      <c r="F19" s="107"/>
      <c r="G19" s="14" t="s">
        <v>24</v>
      </c>
      <c r="H19" s="6">
        <f>H18/H15</f>
        <v>2.6558877180664842E-2</v>
      </c>
      <c r="I19" s="6">
        <f>I18/I15</f>
        <v>4.1874051201067825E-2</v>
      </c>
      <c r="J19" s="68">
        <f>J18/J15</f>
        <v>2.6329009081419111E-2</v>
      </c>
      <c r="K19" s="88">
        <v>0</v>
      </c>
      <c r="L19" s="88">
        <f>L18/L15</f>
        <v>4.0695250022404844E-2</v>
      </c>
      <c r="M19" s="69">
        <f t="shared" ref="M19:S19" si="1">M18/M15</f>
        <v>3.1962560987752658E-2</v>
      </c>
      <c r="N19" s="6">
        <f t="shared" si="1"/>
        <v>5.4216590524511811E-2</v>
      </c>
      <c r="O19" s="6">
        <f t="shared" si="1"/>
        <v>0.1285922335257412</v>
      </c>
      <c r="P19" s="6">
        <f t="shared" si="1"/>
        <v>3.0796095891152927E-3</v>
      </c>
      <c r="Q19" s="6">
        <f t="shared" si="1"/>
        <v>6.9631864901431592E-3</v>
      </c>
      <c r="R19" s="6">
        <f t="shared" si="1"/>
        <v>5.4887975812078452E-2</v>
      </c>
      <c r="S19" s="6">
        <f t="shared" si="1"/>
        <v>1</v>
      </c>
    </row>
    <row r="20" spans="1:19" ht="25" customHeight="1" x14ac:dyDescent="0.2">
      <c r="A20" s="139"/>
      <c r="B20" s="139"/>
      <c r="C20" s="107"/>
      <c r="D20" s="107"/>
      <c r="E20" s="107"/>
      <c r="F20" s="107"/>
      <c r="G20" s="14" t="s">
        <v>163</v>
      </c>
      <c r="H20" s="67">
        <f>H15/$H$15</f>
        <v>1</v>
      </c>
      <c r="I20" s="67">
        <f t="shared" ref="I20:S20" si="2">I15/$H$15</f>
        <v>1.6914169823530809E-2</v>
      </c>
      <c r="J20" s="67">
        <f t="shared" si="2"/>
        <v>3.244098485496192E-2</v>
      </c>
      <c r="K20" s="67">
        <f t="shared" si="2"/>
        <v>0</v>
      </c>
      <c r="L20" s="67">
        <f t="shared" si="2"/>
        <v>0.29139073295173124</v>
      </c>
      <c r="M20" s="67">
        <f t="shared" si="2"/>
        <v>7.9837291869454621E-4</v>
      </c>
      <c r="N20" s="67">
        <f t="shared" si="2"/>
        <v>0.16167830659086138</v>
      </c>
      <c r="O20" s="67">
        <f t="shared" si="2"/>
        <v>1.8695543869987716E-2</v>
      </c>
      <c r="P20" s="67">
        <f t="shared" si="2"/>
        <v>0.45865403292996143</v>
      </c>
      <c r="Q20" s="67">
        <f t="shared" si="2"/>
        <v>1.1222453779251995E-2</v>
      </c>
      <c r="R20" s="67">
        <f t="shared" si="2"/>
        <v>8.2032956512922053E-3</v>
      </c>
      <c r="S20" s="67">
        <f t="shared" si="2"/>
        <v>2.1066297267156703E-6</v>
      </c>
    </row>
    <row r="21" spans="1:19" ht="25" customHeight="1" x14ac:dyDescent="0.2">
      <c r="A21" s="139">
        <v>46082</v>
      </c>
      <c r="B21" s="139">
        <v>46112</v>
      </c>
      <c r="C21" s="107" t="s">
        <v>104</v>
      </c>
      <c r="D21" s="107" t="s">
        <v>105</v>
      </c>
      <c r="E21" s="107" t="s">
        <v>95</v>
      </c>
      <c r="F21" s="107" t="s">
        <v>185</v>
      </c>
      <c r="G21" s="14" t="s">
        <v>162</v>
      </c>
      <c r="H21" s="14" t="s">
        <v>159</v>
      </c>
      <c r="I21" s="14"/>
      <c r="J21" s="14"/>
      <c r="K21" s="14"/>
      <c r="L21" s="14"/>
      <c r="M21" s="14"/>
      <c r="N21" s="14"/>
      <c r="O21" s="14"/>
      <c r="P21" s="17"/>
      <c r="Q21" s="17"/>
      <c r="R21" s="17"/>
      <c r="S21" s="17"/>
    </row>
    <row r="22" spans="1:19" ht="25" customHeight="1" x14ac:dyDescent="0.2">
      <c r="A22" s="139"/>
      <c r="B22" s="139"/>
      <c r="C22" s="107"/>
      <c r="D22" s="107"/>
      <c r="E22" s="107"/>
      <c r="F22" s="107"/>
      <c r="G22" s="14" t="s">
        <v>187</v>
      </c>
      <c r="H22" s="62"/>
      <c r="I22" s="62"/>
      <c r="J22" s="63"/>
      <c r="K22" s="63"/>
      <c r="L22" s="63"/>
      <c r="M22" s="33"/>
      <c r="N22" s="63"/>
      <c r="O22" s="63"/>
      <c r="P22" s="63"/>
      <c r="Q22" s="63"/>
      <c r="R22" s="63"/>
      <c r="S22" s="33"/>
    </row>
    <row r="23" spans="1:19" ht="25" customHeight="1" x14ac:dyDescent="0.2">
      <c r="A23" s="139"/>
      <c r="B23" s="139"/>
      <c r="C23" s="107"/>
      <c r="D23" s="107"/>
      <c r="E23" s="107"/>
      <c r="F23" s="107"/>
      <c r="G23" s="14" t="s">
        <v>188</v>
      </c>
      <c r="H23" s="62"/>
      <c r="I23" s="62"/>
      <c r="J23" s="63"/>
      <c r="K23" s="63"/>
      <c r="L23" s="63"/>
      <c r="M23" s="33"/>
      <c r="N23" s="63"/>
      <c r="O23" s="63"/>
      <c r="P23" s="63"/>
      <c r="Q23" s="63"/>
      <c r="R23" s="63"/>
      <c r="S23" s="33"/>
    </row>
    <row r="24" spans="1:19" ht="25" customHeight="1" x14ac:dyDescent="0.2">
      <c r="A24" s="139"/>
      <c r="B24" s="139"/>
      <c r="C24" s="107"/>
      <c r="D24" s="107"/>
      <c r="E24" s="107"/>
      <c r="F24" s="107"/>
      <c r="G24" s="14" t="s">
        <v>139</v>
      </c>
      <c r="H24" s="14"/>
      <c r="I24" s="14"/>
      <c r="J24" s="14"/>
      <c r="K24" s="14"/>
      <c r="L24" s="14"/>
      <c r="M24" s="14"/>
      <c r="N24" s="14"/>
      <c r="O24" s="14"/>
      <c r="P24" s="17"/>
      <c r="Q24" s="17"/>
      <c r="R24" s="17"/>
      <c r="S24" s="17"/>
    </row>
    <row r="25" spans="1:19" ht="25" customHeight="1" x14ac:dyDescent="0.2">
      <c r="A25" s="139"/>
      <c r="B25" s="139"/>
      <c r="C25" s="107"/>
      <c r="D25" s="107"/>
      <c r="E25" s="107"/>
      <c r="F25" s="107"/>
      <c r="G25" s="14" t="s">
        <v>24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ht="25" customHeight="1" x14ac:dyDescent="0.2">
      <c r="A26" s="139"/>
      <c r="B26" s="139"/>
      <c r="C26" s="107"/>
      <c r="D26" s="107"/>
      <c r="E26" s="107"/>
      <c r="F26" s="107"/>
      <c r="G26" s="14" t="s">
        <v>163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ht="25" customHeight="1" x14ac:dyDescent="0.2">
      <c r="A27" s="139">
        <v>46082</v>
      </c>
      <c r="B27" s="139">
        <v>46112</v>
      </c>
      <c r="C27" s="107" t="s">
        <v>104</v>
      </c>
      <c r="D27" s="107" t="s">
        <v>105</v>
      </c>
      <c r="E27" s="107" t="s">
        <v>95</v>
      </c>
      <c r="F27" s="107" t="s">
        <v>186</v>
      </c>
      <c r="G27" s="14" t="s">
        <v>162</v>
      </c>
      <c r="H27" s="14" t="s">
        <v>159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ht="25" customHeight="1" x14ac:dyDescent="0.2">
      <c r="A28" s="139"/>
      <c r="B28" s="139"/>
      <c r="C28" s="107"/>
      <c r="D28" s="107"/>
      <c r="E28" s="107"/>
      <c r="F28" s="107"/>
      <c r="G28" s="14" t="s">
        <v>187</v>
      </c>
      <c r="H28" s="62"/>
      <c r="I28" s="62"/>
      <c r="J28" s="63"/>
      <c r="K28" s="63"/>
      <c r="L28" s="63"/>
      <c r="M28" s="33"/>
      <c r="N28" s="63"/>
      <c r="O28" s="63"/>
      <c r="P28" s="63"/>
      <c r="Q28" s="63"/>
      <c r="R28" s="63"/>
      <c r="S28" s="33"/>
    </row>
    <row r="29" spans="1:19" ht="25" customHeight="1" x14ac:dyDescent="0.2">
      <c r="A29" s="139"/>
      <c r="B29" s="139"/>
      <c r="C29" s="107"/>
      <c r="D29" s="107"/>
      <c r="E29" s="107"/>
      <c r="F29" s="107"/>
      <c r="G29" s="14" t="s">
        <v>188</v>
      </c>
      <c r="H29" s="62"/>
      <c r="I29" s="62"/>
      <c r="J29" s="63"/>
      <c r="K29" s="63"/>
      <c r="L29" s="63"/>
      <c r="M29" s="33"/>
      <c r="N29" s="63"/>
      <c r="O29" s="63"/>
      <c r="P29" s="63"/>
      <c r="Q29" s="63"/>
      <c r="R29" s="63"/>
      <c r="S29" s="33"/>
    </row>
    <row r="30" spans="1:19" ht="25" customHeight="1" x14ac:dyDescent="0.2">
      <c r="A30" s="139"/>
      <c r="B30" s="139"/>
      <c r="C30" s="107"/>
      <c r="D30" s="107"/>
      <c r="E30" s="107"/>
      <c r="F30" s="107"/>
      <c r="G30" s="14" t="s">
        <v>139</v>
      </c>
      <c r="H30" s="46"/>
      <c r="I30" s="46"/>
      <c r="J30" s="46"/>
      <c r="K30" s="46"/>
      <c r="L30" s="46"/>
      <c r="M30" s="46"/>
      <c r="N30" s="46"/>
      <c r="O30" s="46"/>
      <c r="P30" s="17"/>
      <c r="Q30" s="17"/>
      <c r="R30" s="17"/>
      <c r="S30" s="17"/>
    </row>
    <row r="31" spans="1:19" ht="25" customHeight="1" x14ac:dyDescent="0.2">
      <c r="A31" s="139"/>
      <c r="B31" s="139"/>
      <c r="C31" s="107"/>
      <c r="D31" s="107"/>
      <c r="E31" s="107"/>
      <c r="F31" s="107"/>
      <c r="G31" s="14" t="s">
        <v>24</v>
      </c>
      <c r="H31" s="59"/>
      <c r="I31" s="59"/>
      <c r="J31" s="59"/>
      <c r="K31" s="59"/>
      <c r="L31" s="59"/>
      <c r="M31" s="59"/>
      <c r="N31" s="48"/>
      <c r="O31" s="60"/>
      <c r="P31" s="17"/>
      <c r="Q31" s="17"/>
      <c r="R31" s="17"/>
      <c r="S31" s="17"/>
    </row>
    <row r="32" spans="1:19" ht="25" customHeight="1" x14ac:dyDescent="0.2">
      <c r="A32" s="139"/>
      <c r="B32" s="139"/>
      <c r="C32" s="107"/>
      <c r="D32" s="107"/>
      <c r="E32" s="107"/>
      <c r="F32" s="107"/>
      <c r="G32" s="14" t="s">
        <v>163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</sheetData>
  <mergeCells count="20">
    <mergeCell ref="F27:F32"/>
    <mergeCell ref="F15:F20"/>
    <mergeCell ref="A21:A26"/>
    <mergeCell ref="B21:B26"/>
    <mergeCell ref="C21:C26"/>
    <mergeCell ref="D21:D26"/>
    <mergeCell ref="E21:E26"/>
    <mergeCell ref="F21:F26"/>
    <mergeCell ref="A27:A32"/>
    <mergeCell ref="B27:B32"/>
    <mergeCell ref="C27:C32"/>
    <mergeCell ref="D27:D32"/>
    <mergeCell ref="E27:E32"/>
    <mergeCell ref="C1:E1"/>
    <mergeCell ref="A2:A10"/>
    <mergeCell ref="A15:A20"/>
    <mergeCell ref="B15:B20"/>
    <mergeCell ref="C15:C20"/>
    <mergeCell ref="D15:D20"/>
    <mergeCell ref="E15:E20"/>
  </mergeCells>
  <phoneticPr fontId="3" type="noConversion"/>
  <pageMargins left="0.7" right="0.7" top="0.75" bottom="0.75" header="0.3" footer="0.3"/>
  <ignoredErrors>
    <ignoredError sqref="H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572F-869A-714B-8833-702087BBB1E9}">
  <dimension ref="A1:AE14"/>
  <sheetViews>
    <sheetView zoomScaleNormal="100" workbookViewId="0">
      <selection activeCell="B3" sqref="B3"/>
    </sheetView>
  </sheetViews>
  <sheetFormatPr baseColWidth="10" defaultColWidth="15.83203125" defaultRowHeight="25" customHeight="1" x14ac:dyDescent="0.2"/>
  <cols>
    <col min="1" max="16384" width="15.83203125" style="26"/>
  </cols>
  <sheetData>
    <row r="1" spans="1:31" s="1" customFormat="1" ht="25" customHeight="1" x14ac:dyDescent="0.2">
      <c r="A1" s="16" t="s">
        <v>27</v>
      </c>
      <c r="B1" s="16" t="s">
        <v>28</v>
      </c>
      <c r="C1" s="112" t="s">
        <v>29</v>
      </c>
      <c r="D1" s="112"/>
      <c r="E1" s="112"/>
      <c r="G1" s="57"/>
    </row>
    <row r="2" spans="1:31" ht="25" customHeight="1" x14ac:dyDescent="0.2">
      <c r="A2" s="108" t="s">
        <v>182</v>
      </c>
      <c r="B2" s="14" t="s">
        <v>1</v>
      </c>
      <c r="C2" s="34" t="s">
        <v>72</v>
      </c>
      <c r="D2" s="22"/>
      <c r="E2" s="22"/>
    </row>
    <row r="3" spans="1:31" ht="25" customHeight="1" x14ac:dyDescent="0.2">
      <c r="A3" s="109"/>
      <c r="B3" s="33" t="s">
        <v>13</v>
      </c>
      <c r="C3" s="34" t="s">
        <v>54</v>
      </c>
      <c r="D3" s="22"/>
      <c r="E3" s="22"/>
    </row>
    <row r="4" spans="1:31" ht="25" customHeight="1" x14ac:dyDescent="0.2">
      <c r="A4" s="109"/>
      <c r="B4" s="33" t="s">
        <v>181</v>
      </c>
      <c r="C4" s="34" t="s">
        <v>203</v>
      </c>
      <c r="D4" s="22"/>
      <c r="E4" s="22"/>
    </row>
    <row r="5" spans="1:31" ht="25" customHeight="1" x14ac:dyDescent="0.2">
      <c r="A5" s="109"/>
      <c r="B5" s="33" t="s">
        <v>159</v>
      </c>
      <c r="C5" s="34" t="s">
        <v>159</v>
      </c>
      <c r="D5" s="22"/>
      <c r="E5" s="22"/>
    </row>
    <row r="6" spans="1:31" ht="25" customHeight="1" x14ac:dyDescent="0.2">
      <c r="A6" s="109"/>
      <c r="B6" s="33" t="s">
        <v>201</v>
      </c>
      <c r="C6" s="34" t="s">
        <v>204</v>
      </c>
      <c r="D6" s="2"/>
      <c r="E6" s="2"/>
    </row>
    <row r="7" spans="1:31" ht="25" customHeight="1" x14ac:dyDescent="0.2">
      <c r="A7" s="110"/>
      <c r="B7" s="33" t="s">
        <v>202</v>
      </c>
      <c r="C7" s="34" t="s">
        <v>205</v>
      </c>
      <c r="D7" s="2"/>
      <c r="E7" s="2"/>
    </row>
    <row r="8" spans="1:31" ht="25" customHeight="1" x14ac:dyDescent="0.2">
      <c r="A8" s="8"/>
      <c r="B8" s="31"/>
      <c r="C8" s="2"/>
      <c r="D8" s="2"/>
      <c r="E8" s="2"/>
    </row>
    <row r="10" spans="1:31" s="72" customFormat="1" ht="29" customHeight="1" x14ac:dyDescent="0.2">
      <c r="A10" s="27" t="s">
        <v>1</v>
      </c>
      <c r="B10" s="51" t="s">
        <v>100</v>
      </c>
      <c r="C10" s="51" t="s">
        <v>26</v>
      </c>
      <c r="D10" s="52" t="s">
        <v>8</v>
      </c>
      <c r="E10" s="27" t="s">
        <v>168</v>
      </c>
      <c r="F10" s="71" t="s">
        <v>181</v>
      </c>
      <c r="G10" s="70" t="s">
        <v>169</v>
      </c>
      <c r="H10" s="70" t="s">
        <v>170</v>
      </c>
      <c r="I10" s="70" t="s">
        <v>169</v>
      </c>
      <c r="J10" s="70" t="s">
        <v>171</v>
      </c>
      <c r="K10" s="70" t="s">
        <v>169</v>
      </c>
      <c r="L10" s="70" t="s">
        <v>172</v>
      </c>
      <c r="M10" s="70" t="s">
        <v>169</v>
      </c>
      <c r="N10" s="71" t="s">
        <v>173</v>
      </c>
      <c r="O10" s="70" t="s">
        <v>169</v>
      </c>
      <c r="P10" s="71" t="s">
        <v>174</v>
      </c>
      <c r="Q10" s="70" t="s">
        <v>169</v>
      </c>
      <c r="R10" s="70" t="s">
        <v>175</v>
      </c>
      <c r="S10" s="70" t="s">
        <v>169</v>
      </c>
      <c r="T10" s="70" t="s">
        <v>176</v>
      </c>
      <c r="U10" s="70" t="s">
        <v>169</v>
      </c>
      <c r="V10" s="70" t="s">
        <v>177</v>
      </c>
      <c r="W10" s="70" t="s">
        <v>169</v>
      </c>
      <c r="X10" s="70" t="s">
        <v>178</v>
      </c>
      <c r="Y10" s="70" t="s">
        <v>169</v>
      </c>
      <c r="Z10" s="70" t="s">
        <v>179</v>
      </c>
      <c r="AA10" s="70" t="s">
        <v>169</v>
      </c>
      <c r="AB10" s="70" t="s">
        <v>201</v>
      </c>
      <c r="AC10" s="70" t="s">
        <v>169</v>
      </c>
      <c r="AD10" s="70" t="s">
        <v>180</v>
      </c>
      <c r="AE10" s="70" t="s">
        <v>169</v>
      </c>
    </row>
    <row r="11" spans="1:31" ht="25" customHeight="1" x14ac:dyDescent="0.2">
      <c r="A11" s="28" t="s">
        <v>7</v>
      </c>
      <c r="B11" s="14" t="s">
        <v>104</v>
      </c>
      <c r="C11" s="14" t="s">
        <v>105</v>
      </c>
      <c r="D11" s="14" t="s">
        <v>95</v>
      </c>
      <c r="E11" s="28">
        <v>300</v>
      </c>
      <c r="F11" s="28">
        <v>30</v>
      </c>
      <c r="G11" s="41">
        <f>F11/$E$11</f>
        <v>0.1</v>
      </c>
      <c r="H11" s="28">
        <v>50</v>
      </c>
      <c r="I11" s="41">
        <f>H11/$E$11</f>
        <v>0.16666666666666666</v>
      </c>
      <c r="J11" s="28">
        <v>70</v>
      </c>
      <c r="K11" s="41">
        <f>J11/$E$11</f>
        <v>0.23333333333333334</v>
      </c>
      <c r="L11" s="28">
        <v>30</v>
      </c>
      <c r="M11" s="41">
        <f>L11/$E$11</f>
        <v>0.1</v>
      </c>
      <c r="N11" s="28">
        <v>40</v>
      </c>
      <c r="O11" s="41">
        <f>N11/$E$11</f>
        <v>0.13333333333333333</v>
      </c>
      <c r="P11" s="28">
        <v>40</v>
      </c>
      <c r="Q11" s="41">
        <f>P11/$E$11</f>
        <v>0.13333333333333333</v>
      </c>
      <c r="R11" s="28">
        <v>15</v>
      </c>
      <c r="S11" s="41">
        <f>R11/$E$11</f>
        <v>0.05</v>
      </c>
      <c r="T11" s="28">
        <v>10</v>
      </c>
      <c r="U11" s="41">
        <f>T11/$E$11</f>
        <v>3.3333333333333333E-2</v>
      </c>
      <c r="V11" s="28">
        <v>5</v>
      </c>
      <c r="W11" s="41">
        <f>V11/$E$11</f>
        <v>1.6666666666666666E-2</v>
      </c>
      <c r="X11" s="28">
        <v>3</v>
      </c>
      <c r="Y11" s="41">
        <f>X11/$E$11</f>
        <v>0.01</v>
      </c>
      <c r="Z11" s="28">
        <v>1</v>
      </c>
      <c r="AA11" s="41">
        <f>Z11/$E$11</f>
        <v>3.3333333333333335E-3</v>
      </c>
      <c r="AB11" s="28">
        <v>1</v>
      </c>
      <c r="AC11" s="41">
        <f>AB11/$E$11</f>
        <v>3.3333333333333335E-3</v>
      </c>
      <c r="AD11" s="28">
        <v>5</v>
      </c>
      <c r="AE11" s="41">
        <f>AD11/$E$11</f>
        <v>1.6666666666666666E-2</v>
      </c>
    </row>
    <row r="12" spans="1:31" ht="25" customHeight="1" x14ac:dyDescent="0.2">
      <c r="A12" s="29">
        <v>46099</v>
      </c>
      <c r="B12" s="15"/>
      <c r="C12" s="15"/>
      <c r="D12" s="15"/>
      <c r="E12" s="28"/>
      <c r="F12" s="28"/>
      <c r="G12" s="41"/>
      <c r="H12" s="28"/>
      <c r="I12" s="41"/>
      <c r="J12" s="28"/>
      <c r="K12" s="41"/>
      <c r="L12" s="28"/>
      <c r="M12" s="41"/>
      <c r="N12" s="28"/>
      <c r="O12" s="41"/>
      <c r="P12" s="28"/>
      <c r="Q12" s="41"/>
      <c r="R12" s="28"/>
      <c r="S12" s="41"/>
      <c r="T12" s="28"/>
      <c r="U12" s="41"/>
      <c r="V12" s="28"/>
      <c r="W12" s="41"/>
      <c r="X12" s="28"/>
      <c r="Y12" s="41"/>
      <c r="Z12" s="28"/>
      <c r="AA12" s="41"/>
      <c r="AB12" s="28"/>
      <c r="AC12" s="41"/>
      <c r="AD12" s="28"/>
      <c r="AE12" s="41"/>
    </row>
    <row r="13" spans="1:31" ht="25" customHeight="1" x14ac:dyDescent="0.2">
      <c r="A13" s="30">
        <v>46098</v>
      </c>
      <c r="B13" s="15"/>
      <c r="C13" s="15"/>
      <c r="D13" s="15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spans="1:31" ht="25" customHeight="1" x14ac:dyDescent="0.2">
      <c r="A14" s="30">
        <v>46099</v>
      </c>
      <c r="B14" s="15"/>
      <c r="C14" s="15"/>
      <c r="D14" s="15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</sheetData>
  <mergeCells count="2">
    <mergeCell ref="A2:A7"/>
    <mergeCell ref="C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表格汇总</vt:lpstr>
      <vt:lpstr>综合日报表</vt:lpstr>
      <vt:lpstr>ROI回收表</vt:lpstr>
      <vt:lpstr>首存及续存率</vt:lpstr>
      <vt:lpstr>投充比与杀率</vt:lpstr>
      <vt:lpstr>游戏类型流水分布</vt:lpstr>
      <vt:lpstr>首存金额分布与占比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九天</dc:creator>
  <cp:lastModifiedBy>Karl Lee</cp:lastModifiedBy>
  <dcterms:created xsi:type="dcterms:W3CDTF">2026-04-06T07:23:09Z</dcterms:created>
  <dcterms:modified xsi:type="dcterms:W3CDTF">2026-04-15T10:21:50Z</dcterms:modified>
</cp:coreProperties>
</file>